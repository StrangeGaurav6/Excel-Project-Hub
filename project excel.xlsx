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SHIVAM\Documents\Gaurav\"/>
    </mc:Choice>
  </mc:AlternateContent>
  <xr:revisionPtr revIDLastSave="0" documentId="13_ncr:1_{CE728593-7435-4EE2-A5DD-11AE52466686}" xr6:coauthVersionLast="47" xr6:coauthVersionMax="47" xr10:uidLastSave="{00000000-0000-0000-0000-000000000000}"/>
  <bookViews>
    <workbookView xWindow="-120" yWindow="-120" windowWidth="20730" windowHeight="11040" xr2:uid="{3AC22D2F-B025-4D1D-A210-B2C55EBFFECE}"/>
  </bookViews>
  <sheets>
    <sheet name="Dashboard" sheetId="4" r:id="rId1"/>
    <sheet name=" Reports" sheetId="3" r:id="rId2"/>
    <sheet name="Sales_Data" sheetId="1" r:id="rId3"/>
    <sheet name="Master" sheetId="2" r:id="rId4"/>
  </sheets>
  <definedNames>
    <definedName name="Slicer_Month">#N/A</definedName>
    <definedName name="Slicer_Product">#N/A</definedName>
    <definedName name="Slicer_Region">#N/A</definedName>
    <definedName name="Slicer_Sales_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 i="4" l="1"/>
  <c r="F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B4" i="4"/>
  <c r="B2" i="4"/>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M301" i="1" s="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B3" i="4" l="1"/>
</calcChain>
</file>

<file path=xl/sharedStrings.xml><?xml version="1.0" encoding="utf-8"?>
<sst xmlns="http://schemas.openxmlformats.org/spreadsheetml/2006/main" count="965" uniqueCount="46">
  <si>
    <t>Date</t>
  </si>
  <si>
    <t>Region</t>
  </si>
  <si>
    <t>Sales Person</t>
  </si>
  <si>
    <t>Product</t>
  </si>
  <si>
    <t>Category</t>
  </si>
  <si>
    <t>Units Sold</t>
  </si>
  <si>
    <t>Revenue</t>
  </si>
  <si>
    <t>Target</t>
  </si>
  <si>
    <t>West</t>
  </si>
  <si>
    <t>Rahul</t>
  </si>
  <si>
    <t>Laptop</t>
  </si>
  <si>
    <t>Electronics</t>
  </si>
  <si>
    <t>East</t>
  </si>
  <si>
    <t>Amit</t>
  </si>
  <si>
    <t>Printer</t>
  </si>
  <si>
    <t>Office</t>
  </si>
  <si>
    <t>South</t>
  </si>
  <si>
    <t>Mobile</t>
  </si>
  <si>
    <t>North</t>
  </si>
  <si>
    <t>Neha</t>
  </si>
  <si>
    <t>Priya</t>
  </si>
  <si>
    <t>Tablet</t>
  </si>
  <si>
    <t>Rohit</t>
  </si>
  <si>
    <t>Month</t>
  </si>
  <si>
    <t>Year</t>
  </si>
  <si>
    <t>Achieved %</t>
  </si>
  <si>
    <t>Price</t>
  </si>
  <si>
    <t>Grand Total</t>
  </si>
  <si>
    <t>Sum of Revenue</t>
  </si>
  <si>
    <t>Jan</t>
  </si>
  <si>
    <t>Feb</t>
  </si>
  <si>
    <t>Mar</t>
  </si>
  <si>
    <t>Apr</t>
  </si>
  <si>
    <t>May</t>
  </si>
  <si>
    <t>Jun</t>
  </si>
  <si>
    <t>Jul</t>
  </si>
  <si>
    <t>Aug</t>
  </si>
  <si>
    <t>Sep</t>
  </si>
  <si>
    <t>Oct</t>
  </si>
  <si>
    <t>Sum of Target</t>
  </si>
  <si>
    <t xml:space="preserve"> </t>
  </si>
  <si>
    <t>TOTAL SALES</t>
  </si>
  <si>
    <t>TOTAL TARGET</t>
  </si>
  <si>
    <t>ACHIEVEMENT %</t>
  </si>
  <si>
    <t>TOP REGION</t>
  </si>
  <si>
    <t>Arrow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</si>
</sst>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rgb="FF00B050"/>
        <bgColor indexed="64"/>
      </patternFill>
    </fill>
    <fill>
      <patternFill patternType="solid">
        <fgColor rgb="FF7030A0"/>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0" fillId="0" borderId="2" xfId="0" pivotButton="1" applyBorder="1"/>
    <xf numFmtId="0" fontId="0" fillId="0" borderId="2" xfId="0" applyBorder="1"/>
    <xf numFmtId="0" fontId="0" fillId="0" borderId="2" xfId="0" applyBorder="1" applyAlignment="1">
      <alignment horizontal="left"/>
    </xf>
    <xf numFmtId="15" fontId="0" fillId="0" borderId="2" xfId="0" applyNumberFormat="1" applyBorder="1"/>
    <xf numFmtId="9" fontId="0" fillId="0" borderId="2" xfId="0" applyNumberFormat="1" applyBorder="1"/>
    <xf numFmtId="15" fontId="0" fillId="0" borderId="1" xfId="0" applyNumberFormat="1" applyBorder="1" applyAlignment="1">
      <alignment horizontal="center" vertical="top"/>
    </xf>
    <xf numFmtId="0" fontId="0" fillId="0" borderId="1" xfId="0" applyBorder="1" applyAlignment="1">
      <alignment horizontal="center" vertical="top"/>
    </xf>
    <xf numFmtId="0" fontId="0" fillId="0" borderId="2" xfId="0" applyBorder="1" applyAlignment="1">
      <alignment vertical="center" wrapText="1"/>
    </xf>
    <xf numFmtId="8" fontId="0" fillId="0" borderId="2" xfId="0" applyNumberFormat="1" applyBorder="1" applyAlignment="1">
      <alignment horizontal="center" vertical="center"/>
    </xf>
    <xf numFmtId="9" fontId="0" fillId="0" borderId="2" xfId="0" applyNumberFormat="1" applyBorder="1" applyAlignment="1">
      <alignment horizontal="center" vertical="center"/>
    </xf>
    <xf numFmtId="0" fontId="1" fillId="2" borderId="2" xfId="0"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cellXfs>
  <cellStyles count="1">
    <cellStyle name="Normal" xfId="0" builtinId="0"/>
  </cellStyles>
  <dxfs count="5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006100"/>
      </font>
      <fill>
        <patternFill>
          <bgColor rgb="FFC6EFCE"/>
        </patternFill>
      </fill>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border diagonalUp="0" diagonalDown="0">
        <left style="thin">
          <color auto="1"/>
        </left>
        <right style="thin">
          <color auto="1"/>
        </right>
        <top style="thin">
          <color auto="1"/>
        </top>
        <bottom style="thin">
          <color auto="1"/>
        </bottom>
        <vertical/>
        <horizontal/>
      </border>
    </dxf>
    <dxf>
      <numFmt numFmtId="13" formatCode="0%"/>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 Reports!PivotTable1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Reports'!$B$3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 Reports'!$A$4:$A$8</c:f>
              <c:strCache>
                <c:ptCount val="4"/>
                <c:pt idx="0">
                  <c:v>East</c:v>
                </c:pt>
                <c:pt idx="1">
                  <c:v>North</c:v>
                </c:pt>
                <c:pt idx="2">
                  <c:v>South</c:v>
                </c:pt>
                <c:pt idx="3">
                  <c:v>West</c:v>
                </c:pt>
              </c:strCache>
            </c:strRef>
          </c:cat>
          <c:val>
            <c:numRef>
              <c:f>' Reports'!$B$4:$B$8</c:f>
              <c:numCache>
                <c:formatCode>General</c:formatCode>
                <c:ptCount val="4"/>
                <c:pt idx="0">
                  <c:v>11485000</c:v>
                </c:pt>
                <c:pt idx="1">
                  <c:v>8385000</c:v>
                </c:pt>
                <c:pt idx="2">
                  <c:v>11720000</c:v>
                </c:pt>
                <c:pt idx="3">
                  <c:v>11535000</c:v>
                </c:pt>
              </c:numCache>
            </c:numRef>
          </c:val>
          <c:extLst>
            <c:ext xmlns:c16="http://schemas.microsoft.com/office/drawing/2014/chart" uri="{C3380CC4-5D6E-409C-BE32-E72D297353CC}">
              <c16:uniqueId val="{00000000-1B45-4BD6-B9CF-1F6ABCBABD2A}"/>
            </c:ext>
          </c:extLst>
        </c:ser>
        <c:dLbls>
          <c:showLegendKey val="0"/>
          <c:showVal val="0"/>
          <c:showCatName val="0"/>
          <c:showSerName val="0"/>
          <c:showPercent val="0"/>
          <c:showBubbleSize val="0"/>
        </c:dLbls>
        <c:gapWidth val="150"/>
        <c:shape val="box"/>
        <c:axId val="2009649984"/>
        <c:axId val="2009644704"/>
        <c:axId val="0"/>
      </c:bar3DChart>
      <c:catAx>
        <c:axId val="20096499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644704"/>
        <c:crosses val="autoZero"/>
        <c:auto val="1"/>
        <c:lblAlgn val="ctr"/>
        <c:lblOffset val="100"/>
        <c:noMultiLvlLbl val="0"/>
      </c:catAx>
      <c:valAx>
        <c:axId val="2009644704"/>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64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 Reports!PivotTable2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's Revenue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 Reports'!$B$11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Reports'!$A$12:$A$16</c:f>
              <c:strCache>
                <c:ptCount val="4"/>
                <c:pt idx="0">
                  <c:v>Laptop</c:v>
                </c:pt>
                <c:pt idx="1">
                  <c:v>Mobile</c:v>
                </c:pt>
                <c:pt idx="2">
                  <c:v>Printer</c:v>
                </c:pt>
                <c:pt idx="3">
                  <c:v>Tablet</c:v>
                </c:pt>
              </c:strCache>
            </c:strRef>
          </c:cat>
          <c:val>
            <c:numRef>
              <c:f>' Reports'!$B$12:$B$16</c:f>
              <c:numCache>
                <c:formatCode>General</c:formatCode>
                <c:ptCount val="4"/>
                <c:pt idx="0">
                  <c:v>20300000</c:v>
                </c:pt>
                <c:pt idx="1">
                  <c:v>8800000</c:v>
                </c:pt>
                <c:pt idx="2">
                  <c:v>5175000</c:v>
                </c:pt>
                <c:pt idx="3">
                  <c:v>8850000</c:v>
                </c:pt>
              </c:numCache>
            </c:numRef>
          </c:val>
          <c:extLst>
            <c:ext xmlns:c16="http://schemas.microsoft.com/office/drawing/2014/chart" uri="{C3380CC4-5D6E-409C-BE32-E72D297353CC}">
              <c16:uniqueId val="{00000000-BE47-4EE1-9495-7358DC25E2DC}"/>
            </c:ext>
          </c:extLst>
        </c:ser>
        <c:dLbls>
          <c:showLegendKey val="0"/>
          <c:showVal val="1"/>
          <c:showCatName val="0"/>
          <c:showSerName val="0"/>
          <c:showPercent val="0"/>
          <c:showBubbleSize val="0"/>
        </c:dLbls>
        <c:gapWidth val="150"/>
        <c:shape val="box"/>
        <c:axId val="2009676864"/>
        <c:axId val="2009672064"/>
        <c:axId val="0"/>
      </c:bar3DChart>
      <c:catAx>
        <c:axId val="200967686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672064"/>
        <c:crosses val="autoZero"/>
        <c:auto val="1"/>
        <c:lblAlgn val="ctr"/>
        <c:lblOffset val="100"/>
        <c:noMultiLvlLbl val="0"/>
      </c:catAx>
      <c:valAx>
        <c:axId val="200967206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967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 Reports!PivotTable3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 Reports'!$B$19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 Reports'!$A$20:$A$30</c:f>
              <c:strCache>
                <c:ptCount val="10"/>
                <c:pt idx="0">
                  <c:v>Jan</c:v>
                </c:pt>
                <c:pt idx="1">
                  <c:v>Feb</c:v>
                </c:pt>
                <c:pt idx="2">
                  <c:v>Mar</c:v>
                </c:pt>
                <c:pt idx="3">
                  <c:v>Apr</c:v>
                </c:pt>
                <c:pt idx="4">
                  <c:v>May</c:v>
                </c:pt>
                <c:pt idx="5">
                  <c:v>Jun</c:v>
                </c:pt>
                <c:pt idx="6">
                  <c:v>Jul</c:v>
                </c:pt>
                <c:pt idx="7">
                  <c:v>Aug</c:v>
                </c:pt>
                <c:pt idx="8">
                  <c:v>Sep</c:v>
                </c:pt>
                <c:pt idx="9">
                  <c:v>Oct</c:v>
                </c:pt>
              </c:strCache>
            </c:strRef>
          </c:cat>
          <c:val>
            <c:numRef>
              <c:f>' Reports'!$B$20:$B$30</c:f>
              <c:numCache>
                <c:formatCode>General</c:formatCode>
                <c:ptCount val="10"/>
                <c:pt idx="0">
                  <c:v>3375000</c:v>
                </c:pt>
                <c:pt idx="1">
                  <c:v>4370000</c:v>
                </c:pt>
                <c:pt idx="2">
                  <c:v>4595000</c:v>
                </c:pt>
                <c:pt idx="3">
                  <c:v>4635000</c:v>
                </c:pt>
                <c:pt idx="4">
                  <c:v>4505000</c:v>
                </c:pt>
                <c:pt idx="5">
                  <c:v>4790000</c:v>
                </c:pt>
                <c:pt idx="6">
                  <c:v>4960000</c:v>
                </c:pt>
                <c:pt idx="7">
                  <c:v>3365000</c:v>
                </c:pt>
                <c:pt idx="8">
                  <c:v>4620000</c:v>
                </c:pt>
                <c:pt idx="9">
                  <c:v>3910000</c:v>
                </c:pt>
              </c:numCache>
            </c:numRef>
          </c:val>
          <c:smooth val="0"/>
          <c:extLst>
            <c:ext xmlns:c16="http://schemas.microsoft.com/office/drawing/2014/chart" uri="{C3380CC4-5D6E-409C-BE32-E72D297353CC}">
              <c16:uniqueId val="{00000000-0B0B-420D-B8D4-B7EFED5D9C9D}"/>
            </c:ext>
          </c:extLst>
        </c:ser>
        <c:dLbls>
          <c:showLegendKey val="0"/>
          <c:showVal val="0"/>
          <c:showCatName val="0"/>
          <c:showSerName val="0"/>
          <c:showPercent val="0"/>
          <c:showBubbleSize val="0"/>
        </c:dLbls>
        <c:marker val="1"/>
        <c:smooth val="0"/>
        <c:axId val="2009672544"/>
        <c:axId val="2009689344"/>
      </c:lineChart>
      <c:catAx>
        <c:axId val="2009672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689344"/>
        <c:crosses val="autoZero"/>
        <c:auto val="1"/>
        <c:lblAlgn val="ctr"/>
        <c:lblOffset val="100"/>
        <c:noMultiLvlLbl val="0"/>
      </c:catAx>
      <c:valAx>
        <c:axId val="2009689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0967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scene3d>
      <a:camera prst="orthographicFront"/>
      <a:lightRig rig="threePt" dir="t"/>
    </a:scene3d>
    <a:sp3d prstMaterial="plastic">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excel.xlsx] Reports!PivotTable5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Preformace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Reports'!$B$33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Reports'!$A$34:$A$39</c:f>
              <c:strCache>
                <c:ptCount val="5"/>
                <c:pt idx="0">
                  <c:v>Amit</c:v>
                </c:pt>
                <c:pt idx="1">
                  <c:v>Neha</c:v>
                </c:pt>
                <c:pt idx="2">
                  <c:v>Priya</c:v>
                </c:pt>
                <c:pt idx="3">
                  <c:v>Rahul</c:v>
                </c:pt>
                <c:pt idx="4">
                  <c:v>Rohit</c:v>
                </c:pt>
              </c:strCache>
            </c:strRef>
          </c:cat>
          <c:val>
            <c:numRef>
              <c:f>' Reports'!$B$34:$B$39</c:f>
              <c:numCache>
                <c:formatCode>General</c:formatCode>
                <c:ptCount val="5"/>
                <c:pt idx="0">
                  <c:v>7110000</c:v>
                </c:pt>
                <c:pt idx="1">
                  <c:v>9480000</c:v>
                </c:pt>
                <c:pt idx="2">
                  <c:v>8720000</c:v>
                </c:pt>
                <c:pt idx="3">
                  <c:v>9245000</c:v>
                </c:pt>
                <c:pt idx="4">
                  <c:v>8570000</c:v>
                </c:pt>
              </c:numCache>
            </c:numRef>
          </c:val>
          <c:extLst>
            <c:ext xmlns:c16="http://schemas.microsoft.com/office/drawing/2014/chart" uri="{C3380CC4-5D6E-409C-BE32-E72D297353CC}">
              <c16:uniqueId val="{00000000-82BA-4B72-A675-E75A5E607996}"/>
            </c:ext>
          </c:extLst>
        </c:ser>
        <c:dLbls>
          <c:showLegendKey val="0"/>
          <c:showVal val="0"/>
          <c:showCatName val="0"/>
          <c:showSerName val="0"/>
          <c:showPercent val="0"/>
          <c:showBubbleSize val="0"/>
        </c:dLbls>
        <c:gapWidth val="219"/>
        <c:overlap val="-27"/>
        <c:axId val="913152736"/>
        <c:axId val="913149376"/>
      </c:barChart>
      <c:lineChart>
        <c:grouping val="standard"/>
        <c:varyColors val="0"/>
        <c:ser>
          <c:idx val="1"/>
          <c:order val="1"/>
          <c:tx>
            <c:strRef>
              <c:f>' Reports'!$C$33</c:f>
              <c:strCache>
                <c:ptCount val="1"/>
                <c:pt idx="0">
                  <c:v>Sum of Target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Reports'!$A$34:$A$39</c:f>
              <c:strCache>
                <c:ptCount val="5"/>
                <c:pt idx="0">
                  <c:v>Amit</c:v>
                </c:pt>
                <c:pt idx="1">
                  <c:v>Neha</c:v>
                </c:pt>
                <c:pt idx="2">
                  <c:v>Priya</c:v>
                </c:pt>
                <c:pt idx="3">
                  <c:v>Rahul</c:v>
                </c:pt>
                <c:pt idx="4">
                  <c:v>Rohit</c:v>
                </c:pt>
              </c:strCache>
            </c:strRef>
          </c:cat>
          <c:val>
            <c:numRef>
              <c:f>' Reports'!$C$34:$C$39</c:f>
              <c:numCache>
                <c:formatCode>General</c:formatCode>
                <c:ptCount val="5"/>
                <c:pt idx="0">
                  <c:v>7134373</c:v>
                </c:pt>
                <c:pt idx="1">
                  <c:v>9330366</c:v>
                </c:pt>
                <c:pt idx="2">
                  <c:v>8781845</c:v>
                </c:pt>
                <c:pt idx="3">
                  <c:v>9185134</c:v>
                </c:pt>
                <c:pt idx="4">
                  <c:v>8545089</c:v>
                </c:pt>
              </c:numCache>
            </c:numRef>
          </c:val>
          <c:smooth val="0"/>
          <c:extLst>
            <c:ext xmlns:c16="http://schemas.microsoft.com/office/drawing/2014/chart" uri="{C3380CC4-5D6E-409C-BE32-E72D297353CC}">
              <c16:uniqueId val="{00000001-82BA-4B72-A675-E75A5E607996}"/>
            </c:ext>
          </c:extLst>
        </c:ser>
        <c:dLbls>
          <c:showLegendKey val="0"/>
          <c:showVal val="0"/>
          <c:showCatName val="0"/>
          <c:showSerName val="0"/>
          <c:showPercent val="0"/>
          <c:showBubbleSize val="0"/>
        </c:dLbls>
        <c:marker val="1"/>
        <c:smooth val="0"/>
        <c:axId val="913154176"/>
        <c:axId val="913156576"/>
      </c:lineChart>
      <c:catAx>
        <c:axId val="9131527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r>
                  <a:rPr lang="en-IN" baseline="0"/>
                  <a:t> person</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149376"/>
        <c:crosses val="autoZero"/>
        <c:auto val="1"/>
        <c:lblAlgn val="ctr"/>
        <c:lblOffset val="100"/>
        <c:noMultiLvlLbl val="0"/>
      </c:catAx>
      <c:valAx>
        <c:axId val="91314937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152736"/>
        <c:crosses val="autoZero"/>
        <c:crossBetween val="between"/>
      </c:valAx>
      <c:valAx>
        <c:axId val="913156576"/>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Target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3154176"/>
        <c:crosses val="max"/>
        <c:crossBetween val="between"/>
      </c:valAx>
      <c:catAx>
        <c:axId val="913154176"/>
        <c:scaling>
          <c:orientation val="minMax"/>
        </c:scaling>
        <c:delete val="1"/>
        <c:axPos val="b"/>
        <c:numFmt formatCode="General" sourceLinked="1"/>
        <c:majorTickMark val="none"/>
        <c:minorTickMark val="none"/>
        <c:tickLblPos val="nextTo"/>
        <c:crossAx val="9131565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prstMaterial="plastic">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6</xdr:row>
      <xdr:rowOff>38100</xdr:rowOff>
    </xdr:from>
    <xdr:to>
      <xdr:col>3</xdr:col>
      <xdr:colOff>457200</xdr:colOff>
      <xdr:row>12</xdr:row>
      <xdr:rowOff>133350</xdr:rowOff>
    </xdr:to>
    <xdr:sp macro="" textlink="Dashboard!B1">
      <xdr:nvSpPr>
        <xdr:cNvPr id="2" name="Rectangle 1">
          <a:extLst>
            <a:ext uri="{FF2B5EF4-FFF2-40B4-BE49-F238E27FC236}">
              <a16:creationId xmlns:a16="http://schemas.microsoft.com/office/drawing/2014/main" id="{CFE0A397-7A6F-F60C-C038-FE4E89C67985}"/>
            </a:ext>
          </a:extLst>
        </xdr:cNvPr>
        <xdr:cNvSpPr/>
      </xdr:nvSpPr>
      <xdr:spPr>
        <a:xfrm>
          <a:off x="76200" y="1181100"/>
          <a:ext cx="2800350" cy="123825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71BE0F-CED2-46B5-8BBA-D56D9C231397}" type="TxLink">
            <a:rPr lang="en-US" sz="2400" b="0" i="0" u="none" strike="noStrike">
              <a:solidFill>
                <a:srgbClr val="000000"/>
              </a:solidFill>
              <a:latin typeface="Calibri"/>
              <a:ea typeface="Calibri"/>
              <a:cs typeface="Calibri"/>
            </a:rPr>
            <a:t>₹ 4,31,25,000.00</a:t>
          </a:fld>
          <a:endParaRPr lang="en-IN" sz="8000"/>
        </a:p>
      </xdr:txBody>
    </xdr:sp>
    <xdr:clientData/>
  </xdr:twoCellAnchor>
  <xdr:twoCellAnchor>
    <xdr:from>
      <xdr:col>4</xdr:col>
      <xdr:colOff>142875</xdr:colOff>
      <xdr:row>6</xdr:row>
      <xdr:rowOff>38100</xdr:rowOff>
    </xdr:from>
    <xdr:to>
      <xdr:col>8</xdr:col>
      <xdr:colOff>504825</xdr:colOff>
      <xdr:row>12</xdr:row>
      <xdr:rowOff>133350</xdr:rowOff>
    </xdr:to>
    <xdr:sp macro="" textlink="Dashboard!B2">
      <xdr:nvSpPr>
        <xdr:cNvPr id="3" name="Rectangle 2">
          <a:extLst>
            <a:ext uri="{FF2B5EF4-FFF2-40B4-BE49-F238E27FC236}">
              <a16:creationId xmlns:a16="http://schemas.microsoft.com/office/drawing/2014/main" id="{6C47D20D-6A3E-4F23-AADF-59F82D144DE3}"/>
            </a:ext>
          </a:extLst>
        </xdr:cNvPr>
        <xdr:cNvSpPr/>
      </xdr:nvSpPr>
      <xdr:spPr>
        <a:xfrm>
          <a:off x="3171825" y="1181100"/>
          <a:ext cx="2800350" cy="123825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A99126E-8F25-4BDA-A6CC-0748483E0CD5}" type="TxLink">
            <a:rPr lang="en-US" sz="2400" b="0" i="0" u="none" strike="noStrike">
              <a:solidFill>
                <a:srgbClr val="000000"/>
              </a:solidFill>
              <a:latin typeface="Calibri"/>
              <a:ea typeface="Calibri"/>
              <a:cs typeface="Calibri"/>
            </a:rPr>
            <a:pPr algn="ctr"/>
            <a:t>₹ 4,29,76,807.00</a:t>
          </a:fld>
          <a:endParaRPr lang="en-IN" sz="5400"/>
        </a:p>
      </xdr:txBody>
    </xdr:sp>
    <xdr:clientData/>
  </xdr:twoCellAnchor>
  <xdr:twoCellAnchor>
    <xdr:from>
      <xdr:col>9</xdr:col>
      <xdr:colOff>152400</xdr:colOff>
      <xdr:row>6</xdr:row>
      <xdr:rowOff>47625</xdr:rowOff>
    </xdr:from>
    <xdr:to>
      <xdr:col>13</xdr:col>
      <xdr:colOff>514350</xdr:colOff>
      <xdr:row>12</xdr:row>
      <xdr:rowOff>142875</xdr:rowOff>
    </xdr:to>
    <xdr:sp macro="" textlink="Dashboard!B3">
      <xdr:nvSpPr>
        <xdr:cNvPr id="4" name="Rectangle 3">
          <a:extLst>
            <a:ext uri="{FF2B5EF4-FFF2-40B4-BE49-F238E27FC236}">
              <a16:creationId xmlns:a16="http://schemas.microsoft.com/office/drawing/2014/main" id="{FFEA7485-F91D-40FF-A2A6-FFC9AB30F7B1}"/>
            </a:ext>
          </a:extLst>
        </xdr:cNvPr>
        <xdr:cNvSpPr/>
      </xdr:nvSpPr>
      <xdr:spPr>
        <a:xfrm>
          <a:off x="6229350" y="1190625"/>
          <a:ext cx="2800350" cy="123825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052F6A-A463-44C4-A3CD-0D2FE1E85B7F}" type="TxLink">
            <a:rPr lang="en-US" sz="2400" b="0" i="0" u="none" strike="noStrike">
              <a:solidFill>
                <a:srgbClr val="000000"/>
              </a:solidFill>
              <a:latin typeface="Calibri"/>
              <a:ea typeface="Calibri"/>
              <a:cs typeface="Calibri"/>
            </a:rPr>
            <a:pPr algn="ctr"/>
            <a:t>100%</a:t>
          </a:fld>
          <a:endParaRPr lang="en-IN" sz="2400"/>
        </a:p>
      </xdr:txBody>
    </xdr:sp>
    <xdr:clientData/>
  </xdr:twoCellAnchor>
  <xdr:twoCellAnchor>
    <xdr:from>
      <xdr:col>14</xdr:col>
      <xdr:colOff>200025</xdr:colOff>
      <xdr:row>6</xdr:row>
      <xdr:rowOff>57150</xdr:rowOff>
    </xdr:from>
    <xdr:to>
      <xdr:col>18</xdr:col>
      <xdr:colOff>561975</xdr:colOff>
      <xdr:row>12</xdr:row>
      <xdr:rowOff>152400</xdr:rowOff>
    </xdr:to>
    <xdr:sp macro="" textlink="Dashboard!B4">
      <xdr:nvSpPr>
        <xdr:cNvPr id="5" name="Rectangle 4">
          <a:extLst>
            <a:ext uri="{FF2B5EF4-FFF2-40B4-BE49-F238E27FC236}">
              <a16:creationId xmlns:a16="http://schemas.microsoft.com/office/drawing/2014/main" id="{86EF9891-9571-498C-B0A9-2EFEBFD0C8BA}"/>
            </a:ext>
          </a:extLst>
        </xdr:cNvPr>
        <xdr:cNvSpPr/>
      </xdr:nvSpPr>
      <xdr:spPr>
        <a:xfrm>
          <a:off x="9324975" y="1200150"/>
          <a:ext cx="2800350" cy="1238250"/>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60E98B-03F4-4604-88B9-1655B2207179}" type="TxLink">
            <a:rPr lang="en-US" sz="2400" b="0" i="0" u="none" strike="noStrike">
              <a:solidFill>
                <a:srgbClr val="000000"/>
              </a:solidFill>
              <a:latin typeface="Calibri"/>
              <a:ea typeface="Calibri"/>
              <a:cs typeface="Calibri"/>
            </a:rPr>
            <a:pPr algn="ctr"/>
            <a:t>West</a:t>
          </a:fld>
          <a:endParaRPr lang="en-IN" sz="2400"/>
        </a:p>
      </xdr:txBody>
    </xdr:sp>
    <xdr:clientData/>
  </xdr:twoCellAnchor>
  <xdr:twoCellAnchor>
    <xdr:from>
      <xdr:col>0</xdr:col>
      <xdr:colOff>485774</xdr:colOff>
      <xdr:row>6</xdr:row>
      <xdr:rowOff>66675</xdr:rowOff>
    </xdr:from>
    <xdr:to>
      <xdr:col>2</xdr:col>
      <xdr:colOff>571499</xdr:colOff>
      <xdr:row>8</xdr:row>
      <xdr:rowOff>104775</xdr:rowOff>
    </xdr:to>
    <xdr:sp macro="" textlink="">
      <xdr:nvSpPr>
        <xdr:cNvPr id="6" name="TextBox 5">
          <a:extLst>
            <a:ext uri="{FF2B5EF4-FFF2-40B4-BE49-F238E27FC236}">
              <a16:creationId xmlns:a16="http://schemas.microsoft.com/office/drawing/2014/main" id="{A33B9E93-EBE1-FEA7-F58E-1323A44FBFED}"/>
            </a:ext>
          </a:extLst>
        </xdr:cNvPr>
        <xdr:cNvSpPr txBox="1"/>
      </xdr:nvSpPr>
      <xdr:spPr>
        <a:xfrm>
          <a:off x="485774" y="1209675"/>
          <a:ext cx="2143125" cy="4191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504000" tIns="72000" rIns="0" rtlCol="0" anchor="t"/>
        <a:lstStyle/>
        <a:p>
          <a:r>
            <a:rPr lang="en-IN" sz="1100" b="0" i="0" u="none" strike="noStrike">
              <a:solidFill>
                <a:schemeClr val="dk1"/>
              </a:solidFill>
              <a:effectLst/>
              <a:latin typeface="+mn-lt"/>
              <a:ea typeface="+mn-ea"/>
              <a:cs typeface="+mn-cs"/>
            </a:rPr>
            <a:t>💰</a:t>
          </a:r>
          <a:r>
            <a:rPr lang="en-IN" sz="1800">
              <a:effectLst/>
            </a:rPr>
            <a:t> </a:t>
          </a:r>
          <a:r>
            <a:rPr lang="en-IN" sz="1800">
              <a:solidFill>
                <a:schemeClr val="tx1">
                  <a:lumMod val="95000"/>
                  <a:lumOff val="5000"/>
                </a:schemeClr>
              </a:solidFill>
            </a:rPr>
            <a:t>Total</a:t>
          </a:r>
          <a:r>
            <a:rPr lang="en-IN" sz="1100">
              <a:solidFill>
                <a:schemeClr val="tx1">
                  <a:lumMod val="95000"/>
                  <a:lumOff val="5000"/>
                </a:schemeClr>
              </a:solidFill>
            </a:rPr>
            <a:t> </a:t>
          </a:r>
          <a:r>
            <a:rPr lang="en-IN" sz="1800">
              <a:solidFill>
                <a:schemeClr val="tx1">
                  <a:lumMod val="95000"/>
                  <a:lumOff val="5000"/>
                </a:schemeClr>
              </a:solidFill>
            </a:rPr>
            <a:t>Sales</a:t>
          </a:r>
          <a:endParaRPr lang="en-IN" sz="1600">
            <a:solidFill>
              <a:schemeClr val="tx1">
                <a:lumMod val="95000"/>
                <a:lumOff val="5000"/>
              </a:schemeClr>
            </a:solidFill>
          </a:endParaRPr>
        </a:p>
        <a:p>
          <a:endParaRPr lang="en-IN" sz="1600"/>
        </a:p>
      </xdr:txBody>
    </xdr:sp>
    <xdr:clientData/>
  </xdr:twoCellAnchor>
  <xdr:twoCellAnchor>
    <xdr:from>
      <xdr:col>5</xdr:col>
      <xdr:colOff>190499</xdr:colOff>
      <xdr:row>6</xdr:row>
      <xdr:rowOff>114299</xdr:rowOff>
    </xdr:from>
    <xdr:to>
      <xdr:col>8</xdr:col>
      <xdr:colOff>238125</xdr:colOff>
      <xdr:row>8</xdr:row>
      <xdr:rowOff>76200</xdr:rowOff>
    </xdr:to>
    <xdr:sp macro="" textlink="">
      <xdr:nvSpPr>
        <xdr:cNvPr id="7" name="TextBox 6">
          <a:extLst>
            <a:ext uri="{FF2B5EF4-FFF2-40B4-BE49-F238E27FC236}">
              <a16:creationId xmlns:a16="http://schemas.microsoft.com/office/drawing/2014/main" id="{6B35D433-4A99-6C7B-C542-8851490F1FC5}"/>
            </a:ext>
          </a:extLst>
        </xdr:cNvPr>
        <xdr:cNvSpPr txBox="1"/>
      </xdr:nvSpPr>
      <xdr:spPr>
        <a:xfrm>
          <a:off x="3829049" y="1257299"/>
          <a:ext cx="1876426" cy="342901"/>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a:t>
          </a:r>
          <a:r>
            <a:rPr lang="en-IN" sz="1800" b="0" i="0" u="none" strike="noStrike" baseline="0">
              <a:solidFill>
                <a:schemeClr val="dk1"/>
              </a:solidFill>
              <a:effectLst/>
              <a:latin typeface="+mn-lt"/>
              <a:ea typeface="+mn-ea"/>
              <a:cs typeface="+mn-cs"/>
            </a:rPr>
            <a:t> </a:t>
          </a:r>
          <a:r>
            <a:rPr lang="en-IN" sz="1800" b="0" i="0" u="none" strike="noStrike">
              <a:solidFill>
                <a:schemeClr val="dk1"/>
              </a:solidFill>
              <a:effectLst/>
              <a:latin typeface="+mn-lt"/>
              <a:ea typeface="+mn-ea"/>
              <a:cs typeface="+mn-cs"/>
            </a:rPr>
            <a:t>TARGET</a:t>
          </a:r>
          <a:endParaRPr lang="en-IN" sz="1600"/>
        </a:p>
      </xdr:txBody>
    </xdr:sp>
    <xdr:clientData/>
  </xdr:twoCellAnchor>
  <xdr:twoCellAnchor>
    <xdr:from>
      <xdr:col>9</xdr:col>
      <xdr:colOff>419099</xdr:colOff>
      <xdr:row>6</xdr:row>
      <xdr:rowOff>104775</xdr:rowOff>
    </xdr:from>
    <xdr:to>
      <xdr:col>13</xdr:col>
      <xdr:colOff>180975</xdr:colOff>
      <xdr:row>8</xdr:row>
      <xdr:rowOff>85725</xdr:rowOff>
    </xdr:to>
    <xdr:sp macro="" textlink="">
      <xdr:nvSpPr>
        <xdr:cNvPr id="8" name="TextBox 7">
          <a:extLst>
            <a:ext uri="{FF2B5EF4-FFF2-40B4-BE49-F238E27FC236}">
              <a16:creationId xmlns:a16="http://schemas.microsoft.com/office/drawing/2014/main" id="{3537765F-E643-C8E4-D60F-284B69430FF1}"/>
            </a:ext>
          </a:extLst>
        </xdr:cNvPr>
        <xdr:cNvSpPr txBox="1"/>
      </xdr:nvSpPr>
      <xdr:spPr>
        <a:xfrm>
          <a:off x="6496049" y="1247775"/>
          <a:ext cx="2200276" cy="361950"/>
        </a:xfrm>
        <a:prstGeom prst="rect">
          <a:avLst/>
        </a:prstGeom>
        <a:solidFill>
          <a:srgbClr val="00B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a:t>
          </a:r>
          <a:r>
            <a:rPr lang="en-IN" sz="1800">
              <a:effectLst/>
            </a:rPr>
            <a:t> </a:t>
          </a:r>
          <a:r>
            <a:rPr lang="en-IN" sz="1800" b="0" i="0" u="none" strike="noStrike">
              <a:solidFill>
                <a:schemeClr val="dk1"/>
              </a:solidFill>
              <a:effectLst/>
              <a:latin typeface="+mn-lt"/>
              <a:ea typeface="+mn-ea"/>
              <a:cs typeface="+mn-cs"/>
            </a:rPr>
            <a:t>ACHIEVEMENT%</a:t>
          </a:r>
          <a:r>
            <a:rPr lang="en-IN" sz="1800">
              <a:effectLst/>
            </a:rPr>
            <a:t> </a:t>
          </a:r>
          <a:endParaRPr lang="en-IN" sz="1800"/>
        </a:p>
      </xdr:txBody>
    </xdr:sp>
    <xdr:clientData/>
  </xdr:twoCellAnchor>
  <xdr:twoCellAnchor>
    <xdr:from>
      <xdr:col>15</xdr:col>
      <xdr:colOff>180976</xdr:colOff>
      <xdr:row>6</xdr:row>
      <xdr:rowOff>85726</xdr:rowOff>
    </xdr:from>
    <xdr:to>
      <xdr:col>18</xdr:col>
      <xdr:colOff>171450</xdr:colOff>
      <xdr:row>8</xdr:row>
      <xdr:rowOff>114300</xdr:rowOff>
    </xdr:to>
    <xdr:sp macro="" textlink="">
      <xdr:nvSpPr>
        <xdr:cNvPr id="9" name="TextBox 8">
          <a:extLst>
            <a:ext uri="{FF2B5EF4-FFF2-40B4-BE49-F238E27FC236}">
              <a16:creationId xmlns:a16="http://schemas.microsoft.com/office/drawing/2014/main" id="{B268B124-F998-43AD-2529-6A48ABA3F049}"/>
            </a:ext>
          </a:extLst>
        </xdr:cNvPr>
        <xdr:cNvSpPr txBox="1"/>
      </xdr:nvSpPr>
      <xdr:spPr>
        <a:xfrm>
          <a:off x="9915526" y="1228726"/>
          <a:ext cx="1819274" cy="409574"/>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a:t>
          </a:r>
          <a:r>
            <a:rPr lang="en-IN" sz="2000">
              <a:effectLst/>
            </a:rPr>
            <a:t> </a:t>
          </a:r>
          <a:r>
            <a:rPr lang="en-IN" sz="2000" b="0" i="0" u="none" strike="noStrike">
              <a:solidFill>
                <a:schemeClr val="dk1"/>
              </a:solidFill>
              <a:effectLst/>
              <a:latin typeface="+mn-lt"/>
              <a:ea typeface="+mn-ea"/>
              <a:cs typeface="+mn-cs"/>
            </a:rPr>
            <a:t>Region</a:t>
          </a:r>
          <a:r>
            <a:rPr lang="en-IN" sz="2000">
              <a:effectLst/>
            </a:rPr>
            <a:t> </a:t>
          </a:r>
          <a:endParaRPr lang="en-IN" sz="2000"/>
        </a:p>
      </xdr:txBody>
    </xdr:sp>
    <xdr:clientData/>
  </xdr:twoCellAnchor>
  <xdr:twoCellAnchor>
    <xdr:from>
      <xdr:col>0</xdr:col>
      <xdr:colOff>161925</xdr:colOff>
      <xdr:row>14</xdr:row>
      <xdr:rowOff>9524</xdr:rowOff>
    </xdr:from>
    <xdr:to>
      <xdr:col>6</xdr:col>
      <xdr:colOff>266700</xdr:colOff>
      <xdr:row>27</xdr:row>
      <xdr:rowOff>95249</xdr:rowOff>
    </xdr:to>
    <xdr:graphicFrame macro="">
      <xdr:nvGraphicFramePr>
        <xdr:cNvPr id="10" name="Chart 9">
          <a:extLst>
            <a:ext uri="{FF2B5EF4-FFF2-40B4-BE49-F238E27FC236}">
              <a16:creationId xmlns:a16="http://schemas.microsoft.com/office/drawing/2014/main" id="{279744BB-72BB-4AD8-90D0-11F8282DB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266700</xdr:colOff>
      <xdr:row>49</xdr:row>
      <xdr:rowOff>57151</xdr:rowOff>
    </xdr:from>
    <xdr:to>
      <xdr:col>6</xdr:col>
      <xdr:colOff>161925</xdr:colOff>
      <xdr:row>61</xdr:row>
      <xdr:rowOff>114301</xdr:rowOff>
    </xdr:to>
    <xdr:graphicFrame macro="">
      <xdr:nvGraphicFramePr>
        <xdr:cNvPr id="11" name="Chart 10">
          <a:extLst>
            <a:ext uri="{FF2B5EF4-FFF2-40B4-BE49-F238E27FC236}">
              <a16:creationId xmlns:a16="http://schemas.microsoft.com/office/drawing/2014/main" id="{2E082337-9A6A-477E-9BBB-52A4CD0A8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209550</xdr:colOff>
      <xdr:row>28</xdr:row>
      <xdr:rowOff>47625</xdr:rowOff>
    </xdr:from>
    <xdr:to>
      <xdr:col>6</xdr:col>
      <xdr:colOff>285750</xdr:colOff>
      <xdr:row>45</xdr:row>
      <xdr:rowOff>104775</xdr:rowOff>
    </xdr:to>
    <xdr:graphicFrame macro="">
      <xdr:nvGraphicFramePr>
        <xdr:cNvPr id="12" name="Chart 11">
          <a:extLst>
            <a:ext uri="{FF2B5EF4-FFF2-40B4-BE49-F238E27FC236}">
              <a16:creationId xmlns:a16="http://schemas.microsoft.com/office/drawing/2014/main" id="{FB9C57B1-DCA6-4277-9304-0B92AA4CA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65</xdr:row>
      <xdr:rowOff>104775</xdr:rowOff>
    </xdr:from>
    <xdr:to>
      <xdr:col>6</xdr:col>
      <xdr:colOff>228600</xdr:colOff>
      <xdr:row>82</xdr:row>
      <xdr:rowOff>114300</xdr:rowOff>
    </xdr:to>
    <xdr:graphicFrame macro="">
      <xdr:nvGraphicFramePr>
        <xdr:cNvPr id="13" name="Chart 12">
          <a:extLst>
            <a:ext uri="{FF2B5EF4-FFF2-40B4-BE49-F238E27FC236}">
              <a16:creationId xmlns:a16="http://schemas.microsoft.com/office/drawing/2014/main" id="{0FFA81D3-F9A2-4B4D-B404-1751135BB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438150</xdr:colOff>
      <xdr:row>15</xdr:row>
      <xdr:rowOff>47625</xdr:rowOff>
    </xdr:from>
    <xdr:to>
      <xdr:col>10</xdr:col>
      <xdr:colOff>438150</xdr:colOff>
      <xdr:row>23</xdr:row>
      <xdr:rowOff>114300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5E93C754-C571-4C49-8DEE-587AD7CB6C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543550" y="2905125"/>
              <a:ext cx="1828800" cy="159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438150</xdr:colOff>
      <xdr:row>49</xdr:row>
      <xdr:rowOff>180975</xdr:rowOff>
    </xdr:from>
    <xdr:to>
      <xdr:col>10</xdr:col>
      <xdr:colOff>438150</xdr:colOff>
      <xdr:row>58</xdr:row>
      <xdr:rowOff>152400</xdr:rowOff>
    </xdr:to>
    <mc:AlternateContent xmlns:mc="http://schemas.openxmlformats.org/markup-compatibility/2006" xmlns:a14="http://schemas.microsoft.com/office/drawing/2010/main">
      <mc:Choice Requires="a14">
        <xdr:graphicFrame macro="">
          <xdr:nvGraphicFramePr>
            <xdr:cNvPr id="15" name="Product 1">
              <a:extLst>
                <a:ext uri="{FF2B5EF4-FFF2-40B4-BE49-F238E27FC236}">
                  <a16:creationId xmlns:a16="http://schemas.microsoft.com/office/drawing/2014/main" id="{3FA969E1-D7F2-42D3-82B5-C274BB405A6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543550" y="9515475"/>
              <a:ext cx="182880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30</xdr:row>
      <xdr:rowOff>19050</xdr:rowOff>
    </xdr:from>
    <xdr:to>
      <xdr:col>10</xdr:col>
      <xdr:colOff>571500</xdr:colOff>
      <xdr:row>43</xdr:row>
      <xdr:rowOff>66675</xdr:rowOff>
    </xdr:to>
    <mc:AlternateContent xmlns:mc="http://schemas.openxmlformats.org/markup-compatibility/2006" xmlns:a14="http://schemas.microsoft.com/office/drawing/2010/main">
      <mc:Choice Requires="a14">
        <xdr:graphicFrame macro="">
          <xdr:nvGraphicFramePr>
            <xdr:cNvPr id="16" name="Month 1">
              <a:extLst>
                <a:ext uri="{FF2B5EF4-FFF2-40B4-BE49-F238E27FC236}">
                  <a16:creationId xmlns:a16="http://schemas.microsoft.com/office/drawing/2014/main" id="{EDB76527-5ECA-498F-9007-86FAE127AF1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676900" y="5734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571500</xdr:colOff>
      <xdr:row>65</xdr:row>
      <xdr:rowOff>161925</xdr:rowOff>
    </xdr:from>
    <xdr:to>
      <xdr:col>10</xdr:col>
      <xdr:colOff>571500</xdr:colOff>
      <xdr:row>75</xdr:row>
      <xdr:rowOff>28575</xdr:rowOff>
    </xdr:to>
    <mc:AlternateContent xmlns:mc="http://schemas.openxmlformats.org/markup-compatibility/2006" xmlns:a14="http://schemas.microsoft.com/office/drawing/2010/main">
      <mc:Choice Requires="a14">
        <xdr:graphicFrame macro="">
          <xdr:nvGraphicFramePr>
            <xdr:cNvPr id="17" name="Sales Person 1">
              <a:extLst>
                <a:ext uri="{FF2B5EF4-FFF2-40B4-BE49-F238E27FC236}">
                  <a16:creationId xmlns:a16="http://schemas.microsoft.com/office/drawing/2014/main" id="{05680899-E5C7-41F3-804D-C19688B3E19F}"/>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5676900" y="12544425"/>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efreshedDate="46121.93970787037" createdVersion="8" refreshedVersion="8" minRefreshableVersion="3" recordCount="300" xr:uid="{D8292AAB-6FB9-4C29-8B43-FC84035089FF}">
  <cacheSource type="worksheet">
    <worksheetSource name="Table1"/>
  </cacheSource>
  <cacheFields count="12">
    <cacheField name="Date" numFmtId="15">
      <sharedItems containsSemiMixedTypes="0" containsNonDate="0" containsDate="1" containsString="0" minDate="2024-01-01T00:00:00" maxDate="2024-10-27T00:00:00"/>
    </cacheField>
    <cacheField name="Region" numFmtId="0">
      <sharedItems count="4">
        <s v="West"/>
        <s v="East"/>
        <s v="South"/>
        <s v="North"/>
      </sharedItems>
    </cacheField>
    <cacheField name="Sales Person" numFmtId="0">
      <sharedItems count="5">
        <s v="Rahul"/>
        <s v="Amit"/>
        <s v="Neha"/>
        <s v="Priya"/>
        <s v="Rohit"/>
      </sharedItems>
    </cacheField>
    <cacheField name="Product" numFmtId="0">
      <sharedItems count="4">
        <s v="Laptop"/>
        <s v="Printer"/>
        <s v="Mobile"/>
        <s v="Tablet"/>
      </sharedItems>
    </cacheField>
    <cacheField name="Category" numFmtId="0">
      <sharedItems/>
    </cacheField>
    <cacheField name="Price" numFmtId="0">
      <sharedItems containsSemiMixedTypes="0" containsString="0" containsNumber="1" containsInteger="1" minValue="15000" maxValue="50000"/>
    </cacheField>
    <cacheField name="Units Sold" numFmtId="0">
      <sharedItems containsSemiMixedTypes="0" containsString="0" containsNumber="1" containsInteger="1" minValue="1" maxValue="9"/>
    </cacheField>
    <cacheField name="Revenue" numFmtId="0">
      <sharedItems containsSemiMixedTypes="0" containsString="0" containsNumber="1" containsInteger="1" minValue="15000" maxValue="450000"/>
    </cacheField>
    <cacheField name="Target" numFmtId="0">
      <sharedItems containsSemiMixedTypes="0" containsString="0" containsNumber="1" containsInteger="1" minValue="-2582" maxValue="469794"/>
    </cacheField>
    <cacheField name="Month" numFmtId="0">
      <sharedItems count="10">
        <s v="Jan"/>
        <s v="Feb"/>
        <s v="Mar"/>
        <s v="Apr"/>
        <s v="May"/>
        <s v="Jun"/>
        <s v="Jul"/>
        <s v="Aug"/>
        <s v="Sep"/>
        <s v="Oct"/>
      </sharedItems>
    </cacheField>
    <cacheField name="Year" numFmtId="0">
      <sharedItems containsSemiMixedTypes="0" containsString="0" containsNumber="1" containsInteger="1" minValue="2024" maxValue="2024"/>
    </cacheField>
    <cacheField name="Achieved %" numFmtId="9">
      <sharedItems containsSemiMixedTypes="0" containsString="0" containsNumber="1" minValue="-5.8094500387296666" maxValue="2.7670171555063643"/>
    </cacheField>
  </cacheFields>
  <extLst>
    <ext xmlns:x14="http://schemas.microsoft.com/office/spreadsheetml/2009/9/main" uri="{725AE2AE-9491-48be-B2B4-4EB974FC3084}">
      <x14:pivotCacheDefinition pivotCacheId="1548123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d v="2024-01-01T00:00:00"/>
    <x v="0"/>
    <x v="0"/>
    <x v="0"/>
    <s v="Electronics"/>
    <n v="50000"/>
    <n v="6"/>
    <n v="300000"/>
    <n v="301243"/>
    <x v="0"/>
    <n v="2024"/>
    <n v="0.99587376304179687"/>
  </r>
  <r>
    <d v="2024-01-02T00:00:00"/>
    <x v="1"/>
    <x v="1"/>
    <x v="1"/>
    <s v="Office"/>
    <n v="15000"/>
    <n v="6"/>
    <n v="90000"/>
    <n v="84935"/>
    <x v="0"/>
    <n v="2024"/>
    <n v="1.0596338376405487"/>
  </r>
  <r>
    <d v="2024-01-03T00:00:00"/>
    <x v="0"/>
    <x v="1"/>
    <x v="0"/>
    <s v="Electronics"/>
    <n v="50000"/>
    <n v="2"/>
    <n v="100000"/>
    <n v="112230"/>
    <x v="0"/>
    <n v="2024"/>
    <n v="0.89102735453978432"/>
  </r>
  <r>
    <d v="2024-01-04T00:00:00"/>
    <x v="2"/>
    <x v="1"/>
    <x v="2"/>
    <s v="Electronics"/>
    <n v="20000"/>
    <n v="6"/>
    <n v="120000"/>
    <n v="116921"/>
    <x v="0"/>
    <n v="2024"/>
    <n v="1.0263340204069415"/>
  </r>
  <r>
    <d v="2024-01-05T00:00:00"/>
    <x v="3"/>
    <x v="2"/>
    <x v="2"/>
    <s v="Electronics"/>
    <n v="20000"/>
    <n v="5"/>
    <n v="100000"/>
    <n v="82163"/>
    <x v="0"/>
    <n v="2024"/>
    <n v="1.2170928520136801"/>
  </r>
  <r>
    <d v="2024-01-06T00:00:00"/>
    <x v="3"/>
    <x v="0"/>
    <x v="2"/>
    <s v="Electronics"/>
    <n v="20000"/>
    <n v="1"/>
    <n v="20000"/>
    <n v="24675"/>
    <x v="0"/>
    <n v="2024"/>
    <n v="0.81053698074974667"/>
  </r>
  <r>
    <d v="2024-01-07T00:00:00"/>
    <x v="1"/>
    <x v="1"/>
    <x v="1"/>
    <s v="Office"/>
    <n v="15000"/>
    <n v="4"/>
    <n v="60000"/>
    <n v="43219"/>
    <x v="0"/>
    <n v="2024"/>
    <n v="1.388278303523913"/>
  </r>
  <r>
    <d v="2024-01-08T00:00:00"/>
    <x v="0"/>
    <x v="2"/>
    <x v="2"/>
    <s v="Electronics"/>
    <n v="20000"/>
    <n v="1"/>
    <n v="20000"/>
    <n v="18676"/>
    <x v="0"/>
    <n v="2024"/>
    <n v="1.0708931248661384"/>
  </r>
  <r>
    <d v="2024-01-09T00:00:00"/>
    <x v="3"/>
    <x v="3"/>
    <x v="3"/>
    <s v="Electronics"/>
    <n v="30000"/>
    <n v="3"/>
    <n v="90000"/>
    <n v="87591"/>
    <x v="0"/>
    <n v="2024"/>
    <n v="1.0275028256327705"/>
  </r>
  <r>
    <d v="2024-01-10T00:00:00"/>
    <x v="2"/>
    <x v="1"/>
    <x v="0"/>
    <s v="Electronics"/>
    <n v="50000"/>
    <n v="1"/>
    <n v="50000"/>
    <n v="53605"/>
    <x v="0"/>
    <n v="2024"/>
    <n v="0.93274881074526628"/>
  </r>
  <r>
    <d v="2024-01-11T00:00:00"/>
    <x v="3"/>
    <x v="0"/>
    <x v="0"/>
    <s v="Electronics"/>
    <n v="50000"/>
    <n v="2"/>
    <n v="100000"/>
    <n v="111055"/>
    <x v="0"/>
    <n v="2024"/>
    <n v="0.9004547296384674"/>
  </r>
  <r>
    <d v="2024-01-12T00:00:00"/>
    <x v="2"/>
    <x v="0"/>
    <x v="3"/>
    <s v="Electronics"/>
    <n v="30000"/>
    <n v="9"/>
    <n v="270000"/>
    <n v="270737"/>
    <x v="0"/>
    <n v="2024"/>
    <n v="0.99727780096551266"/>
  </r>
  <r>
    <d v="2024-01-13T00:00:00"/>
    <x v="0"/>
    <x v="2"/>
    <x v="2"/>
    <s v="Electronics"/>
    <n v="20000"/>
    <n v="4"/>
    <n v="80000"/>
    <n v="72134"/>
    <x v="0"/>
    <n v="2024"/>
    <n v="1.1090470513211523"/>
  </r>
  <r>
    <d v="2024-01-14T00:00:00"/>
    <x v="3"/>
    <x v="2"/>
    <x v="3"/>
    <s v="Electronics"/>
    <n v="30000"/>
    <n v="3"/>
    <n v="90000"/>
    <n v="90571"/>
    <x v="0"/>
    <n v="2024"/>
    <n v="0.99369555376444996"/>
  </r>
  <r>
    <d v="2024-01-15T00:00:00"/>
    <x v="1"/>
    <x v="4"/>
    <x v="2"/>
    <s v="Electronics"/>
    <n v="20000"/>
    <n v="5"/>
    <n v="100000"/>
    <n v="84420"/>
    <x v="0"/>
    <n v="2024"/>
    <n v="1.1845534233593935"/>
  </r>
  <r>
    <d v="2024-01-16T00:00:00"/>
    <x v="3"/>
    <x v="4"/>
    <x v="1"/>
    <s v="Office"/>
    <n v="15000"/>
    <n v="5"/>
    <n v="75000"/>
    <n v="93019"/>
    <x v="0"/>
    <n v="2024"/>
    <n v="0.80628688762510881"/>
  </r>
  <r>
    <d v="2024-01-17T00:00:00"/>
    <x v="0"/>
    <x v="4"/>
    <x v="0"/>
    <s v="Electronics"/>
    <n v="50000"/>
    <n v="9"/>
    <n v="450000"/>
    <n v="433918"/>
    <x v="0"/>
    <n v="2024"/>
    <n v="1.037062302093944"/>
  </r>
  <r>
    <d v="2024-01-18T00:00:00"/>
    <x v="2"/>
    <x v="1"/>
    <x v="1"/>
    <s v="Office"/>
    <n v="15000"/>
    <n v="8"/>
    <n v="120000"/>
    <n v="135725"/>
    <x v="0"/>
    <n v="2024"/>
    <n v="0.88414072573217906"/>
  </r>
  <r>
    <d v="2024-01-19T00:00:00"/>
    <x v="0"/>
    <x v="1"/>
    <x v="2"/>
    <s v="Electronics"/>
    <n v="20000"/>
    <n v="6"/>
    <n v="120000"/>
    <n v="114505"/>
    <x v="0"/>
    <n v="2024"/>
    <n v="1.0479891707785687"/>
  </r>
  <r>
    <d v="2024-01-20T00:00:00"/>
    <x v="3"/>
    <x v="0"/>
    <x v="1"/>
    <s v="Office"/>
    <n v="15000"/>
    <n v="6"/>
    <n v="90000"/>
    <n v="98254"/>
    <x v="0"/>
    <n v="2024"/>
    <n v="0.91599324200541454"/>
  </r>
  <r>
    <d v="2024-01-21T00:00:00"/>
    <x v="2"/>
    <x v="2"/>
    <x v="3"/>
    <s v="Electronics"/>
    <n v="30000"/>
    <n v="5"/>
    <n v="150000"/>
    <n v="155392"/>
    <x v="0"/>
    <n v="2024"/>
    <n v="0.96530065897858319"/>
  </r>
  <r>
    <d v="2024-01-22T00:00:00"/>
    <x v="2"/>
    <x v="0"/>
    <x v="3"/>
    <s v="Electronics"/>
    <n v="30000"/>
    <n v="1"/>
    <n v="30000"/>
    <n v="20215"/>
    <x v="0"/>
    <n v="2024"/>
    <n v="1.4840465001236705"/>
  </r>
  <r>
    <d v="2024-01-23T00:00:00"/>
    <x v="0"/>
    <x v="3"/>
    <x v="1"/>
    <s v="Office"/>
    <n v="15000"/>
    <n v="1"/>
    <n v="15000"/>
    <n v="-2582"/>
    <x v="0"/>
    <n v="2024"/>
    <n v="-5.8094500387296666"/>
  </r>
  <r>
    <d v="2024-01-24T00:00:00"/>
    <x v="1"/>
    <x v="2"/>
    <x v="1"/>
    <s v="Office"/>
    <n v="15000"/>
    <n v="8"/>
    <n v="120000"/>
    <n v="106521"/>
    <x v="0"/>
    <n v="2024"/>
    <n v="1.1265384290421607"/>
  </r>
  <r>
    <d v="2024-01-25T00:00:00"/>
    <x v="0"/>
    <x v="4"/>
    <x v="3"/>
    <s v="Electronics"/>
    <n v="30000"/>
    <n v="4"/>
    <n v="120000"/>
    <n v="114254"/>
    <x v="0"/>
    <n v="2024"/>
    <n v="1.0502914558790064"/>
  </r>
  <r>
    <d v="2024-01-26T00:00:00"/>
    <x v="1"/>
    <x v="0"/>
    <x v="2"/>
    <s v="Electronics"/>
    <n v="20000"/>
    <n v="3"/>
    <n v="60000"/>
    <n v="78299"/>
    <x v="0"/>
    <n v="2024"/>
    <n v="0.76629331153654578"/>
  </r>
  <r>
    <d v="2024-01-27T00:00:00"/>
    <x v="1"/>
    <x v="2"/>
    <x v="3"/>
    <s v="Electronics"/>
    <n v="30000"/>
    <n v="2"/>
    <n v="60000"/>
    <n v="63306"/>
    <x v="0"/>
    <n v="2024"/>
    <n v="0.94777746185195721"/>
  </r>
  <r>
    <d v="2024-01-28T00:00:00"/>
    <x v="3"/>
    <x v="1"/>
    <x v="0"/>
    <s v="Electronics"/>
    <n v="50000"/>
    <n v="3"/>
    <n v="150000"/>
    <n v="163075"/>
    <x v="0"/>
    <n v="2024"/>
    <n v="0.91982216771424197"/>
  </r>
  <r>
    <d v="2024-01-29T00:00:00"/>
    <x v="0"/>
    <x v="3"/>
    <x v="3"/>
    <s v="Electronics"/>
    <n v="30000"/>
    <n v="1"/>
    <n v="30000"/>
    <n v="33334"/>
    <x v="0"/>
    <n v="2024"/>
    <n v="0.89998200035999276"/>
  </r>
  <r>
    <d v="2024-01-30T00:00:00"/>
    <x v="3"/>
    <x v="1"/>
    <x v="1"/>
    <s v="Office"/>
    <n v="15000"/>
    <n v="9"/>
    <n v="135000"/>
    <n v="150260"/>
    <x v="0"/>
    <n v="2024"/>
    <n v="0.8984426993211766"/>
  </r>
  <r>
    <d v="2024-01-31T00:00:00"/>
    <x v="1"/>
    <x v="3"/>
    <x v="2"/>
    <s v="Electronics"/>
    <n v="20000"/>
    <n v="3"/>
    <n v="60000"/>
    <n v="55875"/>
    <x v="0"/>
    <n v="2024"/>
    <n v="1.0738255033557047"/>
  </r>
  <r>
    <d v="2024-02-01T00:00:00"/>
    <x v="3"/>
    <x v="2"/>
    <x v="1"/>
    <s v="Office"/>
    <n v="15000"/>
    <n v="1"/>
    <n v="15000"/>
    <n v="13728"/>
    <x v="1"/>
    <n v="2024"/>
    <n v="1.0926573426573427"/>
  </r>
  <r>
    <d v="2024-02-02T00:00:00"/>
    <x v="3"/>
    <x v="4"/>
    <x v="1"/>
    <s v="Office"/>
    <n v="15000"/>
    <n v="9"/>
    <n v="135000"/>
    <n v="121594"/>
    <x v="1"/>
    <n v="2024"/>
    <n v="1.1102521505995362"/>
  </r>
  <r>
    <d v="2024-02-03T00:00:00"/>
    <x v="0"/>
    <x v="2"/>
    <x v="1"/>
    <s v="Office"/>
    <n v="15000"/>
    <n v="1"/>
    <n v="15000"/>
    <n v="10620"/>
    <x v="1"/>
    <n v="2024"/>
    <n v="1.4124293785310735"/>
  </r>
  <r>
    <d v="2024-02-04T00:00:00"/>
    <x v="2"/>
    <x v="2"/>
    <x v="0"/>
    <s v="Electronics"/>
    <n v="50000"/>
    <n v="7"/>
    <n v="350000"/>
    <n v="333533"/>
    <x v="1"/>
    <n v="2024"/>
    <n v="1.0493714265155172"/>
  </r>
  <r>
    <d v="2024-02-05T00:00:00"/>
    <x v="2"/>
    <x v="0"/>
    <x v="0"/>
    <s v="Electronics"/>
    <n v="50000"/>
    <n v="1"/>
    <n v="50000"/>
    <n v="49608"/>
    <x v="1"/>
    <n v="2024"/>
    <n v="1.0079019512981777"/>
  </r>
  <r>
    <d v="2024-02-06T00:00:00"/>
    <x v="2"/>
    <x v="2"/>
    <x v="0"/>
    <s v="Electronics"/>
    <n v="50000"/>
    <n v="7"/>
    <n v="350000"/>
    <n v="343429"/>
    <x v="1"/>
    <n v="2024"/>
    <n v="1.0191335035771587"/>
  </r>
  <r>
    <d v="2024-02-07T00:00:00"/>
    <x v="0"/>
    <x v="2"/>
    <x v="2"/>
    <s v="Electronics"/>
    <n v="20000"/>
    <n v="9"/>
    <n v="180000"/>
    <n v="175588"/>
    <x v="1"/>
    <n v="2024"/>
    <n v="1.0251270018452285"/>
  </r>
  <r>
    <d v="2024-02-08T00:00:00"/>
    <x v="0"/>
    <x v="1"/>
    <x v="2"/>
    <s v="Electronics"/>
    <n v="20000"/>
    <n v="7"/>
    <n v="140000"/>
    <n v="120469"/>
    <x v="1"/>
    <n v="2024"/>
    <n v="1.1621246959798786"/>
  </r>
  <r>
    <d v="2024-02-09T00:00:00"/>
    <x v="1"/>
    <x v="2"/>
    <x v="0"/>
    <s v="Electronics"/>
    <n v="50000"/>
    <n v="3"/>
    <n v="150000"/>
    <n v="145912"/>
    <x v="1"/>
    <n v="2024"/>
    <n v="1.0280168868907287"/>
  </r>
  <r>
    <d v="2024-02-10T00:00:00"/>
    <x v="3"/>
    <x v="1"/>
    <x v="3"/>
    <s v="Electronics"/>
    <n v="30000"/>
    <n v="2"/>
    <n v="60000"/>
    <n v="51052"/>
    <x v="1"/>
    <n v="2024"/>
    <n v="1.1752722714095432"/>
  </r>
  <r>
    <d v="2024-02-11T00:00:00"/>
    <x v="0"/>
    <x v="3"/>
    <x v="1"/>
    <s v="Office"/>
    <n v="15000"/>
    <n v="3"/>
    <n v="45000"/>
    <n v="30103"/>
    <x v="1"/>
    <n v="2024"/>
    <n v="1.4948676211673255"/>
  </r>
  <r>
    <d v="2024-02-12T00:00:00"/>
    <x v="1"/>
    <x v="2"/>
    <x v="0"/>
    <s v="Electronics"/>
    <n v="50000"/>
    <n v="7"/>
    <n v="350000"/>
    <n v="342579"/>
    <x v="1"/>
    <n v="2024"/>
    <n v="1.0216621567580033"/>
  </r>
  <r>
    <d v="2024-02-13T00:00:00"/>
    <x v="1"/>
    <x v="2"/>
    <x v="0"/>
    <s v="Electronics"/>
    <n v="50000"/>
    <n v="9"/>
    <n v="450000"/>
    <n v="436356"/>
    <x v="1"/>
    <n v="2024"/>
    <n v="1.0312680471908258"/>
  </r>
  <r>
    <d v="2024-02-14T00:00:00"/>
    <x v="0"/>
    <x v="2"/>
    <x v="2"/>
    <s v="Electronics"/>
    <n v="20000"/>
    <n v="9"/>
    <n v="180000"/>
    <n v="168962"/>
    <x v="1"/>
    <n v="2024"/>
    <n v="1.0653282986707071"/>
  </r>
  <r>
    <d v="2024-02-15T00:00:00"/>
    <x v="1"/>
    <x v="4"/>
    <x v="2"/>
    <s v="Electronics"/>
    <n v="20000"/>
    <n v="8"/>
    <n v="160000"/>
    <n v="144403"/>
    <x v="1"/>
    <n v="2024"/>
    <n v="1.1080102213942924"/>
  </r>
  <r>
    <d v="2024-02-16T00:00:00"/>
    <x v="0"/>
    <x v="0"/>
    <x v="2"/>
    <s v="Electronics"/>
    <n v="20000"/>
    <n v="4"/>
    <n v="80000"/>
    <n v="70787"/>
    <x v="1"/>
    <n v="2024"/>
    <n v="1.1301510164295705"/>
  </r>
  <r>
    <d v="2024-02-17T00:00:00"/>
    <x v="1"/>
    <x v="3"/>
    <x v="2"/>
    <s v="Electronics"/>
    <n v="20000"/>
    <n v="8"/>
    <n v="160000"/>
    <n v="164451"/>
    <x v="1"/>
    <n v="2024"/>
    <n v="0.97293418708308255"/>
  </r>
  <r>
    <d v="2024-02-18T00:00:00"/>
    <x v="0"/>
    <x v="0"/>
    <x v="3"/>
    <s v="Electronics"/>
    <n v="30000"/>
    <n v="4"/>
    <n v="120000"/>
    <n v="116583"/>
    <x v="1"/>
    <n v="2024"/>
    <n v="1.0293095905921104"/>
  </r>
  <r>
    <d v="2024-02-19T00:00:00"/>
    <x v="2"/>
    <x v="1"/>
    <x v="0"/>
    <s v="Electronics"/>
    <n v="50000"/>
    <n v="3"/>
    <n v="150000"/>
    <n v="135208"/>
    <x v="1"/>
    <n v="2024"/>
    <n v="1.1094018105437549"/>
  </r>
  <r>
    <d v="2024-02-20T00:00:00"/>
    <x v="1"/>
    <x v="1"/>
    <x v="1"/>
    <s v="Office"/>
    <n v="15000"/>
    <n v="5"/>
    <n v="75000"/>
    <n v="63389"/>
    <x v="1"/>
    <n v="2024"/>
    <n v="1.183170581646658"/>
  </r>
  <r>
    <d v="2024-02-21T00:00:00"/>
    <x v="2"/>
    <x v="0"/>
    <x v="3"/>
    <s v="Electronics"/>
    <n v="30000"/>
    <n v="9"/>
    <n v="270000"/>
    <n v="276813"/>
    <x v="1"/>
    <n v="2024"/>
    <n v="0.97538771661735535"/>
  </r>
  <r>
    <d v="2024-02-22T00:00:00"/>
    <x v="0"/>
    <x v="1"/>
    <x v="0"/>
    <s v="Electronics"/>
    <n v="50000"/>
    <n v="4"/>
    <n v="200000"/>
    <n v="193688"/>
    <x v="1"/>
    <n v="2024"/>
    <n v="1.0325884928338358"/>
  </r>
  <r>
    <d v="2024-02-23T00:00:00"/>
    <x v="0"/>
    <x v="4"/>
    <x v="0"/>
    <s v="Electronics"/>
    <n v="50000"/>
    <n v="5"/>
    <n v="250000"/>
    <n v="250803"/>
    <x v="1"/>
    <n v="2024"/>
    <n v="0.99679828391207437"/>
  </r>
  <r>
    <d v="2024-02-24T00:00:00"/>
    <x v="2"/>
    <x v="0"/>
    <x v="1"/>
    <s v="Office"/>
    <n v="15000"/>
    <n v="3"/>
    <n v="45000"/>
    <n v="47302"/>
    <x v="1"/>
    <n v="2024"/>
    <n v="0.95133398164982452"/>
  </r>
  <r>
    <d v="2024-02-25T00:00:00"/>
    <x v="2"/>
    <x v="3"/>
    <x v="2"/>
    <s v="Electronics"/>
    <n v="20000"/>
    <n v="3"/>
    <n v="60000"/>
    <n v="54676"/>
    <x v="1"/>
    <n v="2024"/>
    <n v="1.097373619138196"/>
  </r>
  <r>
    <d v="2024-02-26T00:00:00"/>
    <x v="3"/>
    <x v="3"/>
    <x v="2"/>
    <s v="Electronics"/>
    <n v="20000"/>
    <n v="6"/>
    <n v="120000"/>
    <n v="125484"/>
    <x v="1"/>
    <n v="2024"/>
    <n v="0.95629721717509797"/>
  </r>
  <r>
    <d v="2024-02-27T00:00:00"/>
    <x v="0"/>
    <x v="2"/>
    <x v="1"/>
    <s v="Office"/>
    <n v="15000"/>
    <n v="6"/>
    <n v="90000"/>
    <n v="103191"/>
    <x v="1"/>
    <n v="2024"/>
    <n v="0.87216908451318431"/>
  </r>
  <r>
    <d v="2024-02-28T00:00:00"/>
    <x v="1"/>
    <x v="4"/>
    <x v="3"/>
    <s v="Electronics"/>
    <n v="30000"/>
    <n v="2"/>
    <n v="60000"/>
    <n v="73735"/>
    <x v="1"/>
    <n v="2024"/>
    <n v="0.81372482538821456"/>
  </r>
  <r>
    <d v="2024-02-29T00:00:00"/>
    <x v="2"/>
    <x v="0"/>
    <x v="1"/>
    <s v="Office"/>
    <n v="15000"/>
    <n v="4"/>
    <n v="60000"/>
    <n v="73201"/>
    <x v="1"/>
    <n v="2024"/>
    <n v="0.81966093359380332"/>
  </r>
  <r>
    <d v="2024-03-01T00:00:00"/>
    <x v="0"/>
    <x v="0"/>
    <x v="2"/>
    <s v="Electronics"/>
    <n v="20000"/>
    <n v="3"/>
    <n v="60000"/>
    <n v="71200"/>
    <x v="2"/>
    <n v="2024"/>
    <n v="0.84269662921348309"/>
  </r>
  <r>
    <d v="2024-03-02T00:00:00"/>
    <x v="1"/>
    <x v="1"/>
    <x v="0"/>
    <s v="Electronics"/>
    <n v="50000"/>
    <n v="2"/>
    <n v="100000"/>
    <n v="116736"/>
    <x v="2"/>
    <n v="2024"/>
    <n v="0.85663377192982459"/>
  </r>
  <r>
    <d v="2024-03-03T00:00:00"/>
    <x v="3"/>
    <x v="4"/>
    <x v="3"/>
    <s v="Electronics"/>
    <n v="30000"/>
    <n v="5"/>
    <n v="150000"/>
    <n v="155182"/>
    <x v="2"/>
    <n v="2024"/>
    <n v="0.96660695183719758"/>
  </r>
  <r>
    <d v="2024-03-04T00:00:00"/>
    <x v="3"/>
    <x v="1"/>
    <x v="1"/>
    <s v="Office"/>
    <n v="15000"/>
    <n v="4"/>
    <n v="60000"/>
    <n v="65907"/>
    <x v="2"/>
    <n v="2024"/>
    <n v="0.91037370840730125"/>
  </r>
  <r>
    <d v="2024-03-05T00:00:00"/>
    <x v="3"/>
    <x v="3"/>
    <x v="1"/>
    <s v="Office"/>
    <n v="15000"/>
    <n v="8"/>
    <n v="120000"/>
    <n v="102195"/>
    <x v="2"/>
    <n v="2024"/>
    <n v="1.1742257448994569"/>
  </r>
  <r>
    <d v="2024-03-06T00:00:00"/>
    <x v="0"/>
    <x v="1"/>
    <x v="2"/>
    <s v="Electronics"/>
    <n v="20000"/>
    <n v="9"/>
    <n v="180000"/>
    <n v="170100"/>
    <x v="2"/>
    <n v="2024"/>
    <n v="1.0582010582010581"/>
  </r>
  <r>
    <d v="2024-03-07T00:00:00"/>
    <x v="1"/>
    <x v="4"/>
    <x v="1"/>
    <s v="Office"/>
    <n v="15000"/>
    <n v="5"/>
    <n v="75000"/>
    <n v="78978"/>
    <x v="2"/>
    <n v="2024"/>
    <n v="0.94963154296133101"/>
  </r>
  <r>
    <d v="2024-03-08T00:00:00"/>
    <x v="0"/>
    <x v="1"/>
    <x v="0"/>
    <s v="Electronics"/>
    <n v="50000"/>
    <n v="3"/>
    <n v="150000"/>
    <n v="153418"/>
    <x v="2"/>
    <n v="2024"/>
    <n v="0.97772099753614305"/>
  </r>
  <r>
    <d v="2024-03-09T00:00:00"/>
    <x v="0"/>
    <x v="2"/>
    <x v="2"/>
    <s v="Electronics"/>
    <n v="20000"/>
    <n v="6"/>
    <n v="120000"/>
    <n v="127784"/>
    <x v="2"/>
    <n v="2024"/>
    <n v="0.93908470544043077"/>
  </r>
  <r>
    <d v="2024-03-10T00:00:00"/>
    <x v="2"/>
    <x v="3"/>
    <x v="0"/>
    <s v="Electronics"/>
    <n v="50000"/>
    <n v="8"/>
    <n v="400000"/>
    <n v="417212"/>
    <x v="2"/>
    <n v="2024"/>
    <n v="0.95874519428971361"/>
  </r>
  <r>
    <d v="2024-03-11T00:00:00"/>
    <x v="0"/>
    <x v="2"/>
    <x v="3"/>
    <s v="Electronics"/>
    <n v="30000"/>
    <n v="5"/>
    <n v="150000"/>
    <n v="137601"/>
    <x v="2"/>
    <n v="2024"/>
    <n v="1.0901083567706631"/>
  </r>
  <r>
    <d v="2024-03-12T00:00:00"/>
    <x v="1"/>
    <x v="2"/>
    <x v="1"/>
    <s v="Office"/>
    <n v="15000"/>
    <n v="3"/>
    <n v="45000"/>
    <n v="53021"/>
    <x v="2"/>
    <n v="2024"/>
    <n v="0.84872031836442163"/>
  </r>
  <r>
    <d v="2024-03-13T00:00:00"/>
    <x v="0"/>
    <x v="4"/>
    <x v="3"/>
    <s v="Electronics"/>
    <n v="30000"/>
    <n v="6"/>
    <n v="180000"/>
    <n v="163898"/>
    <x v="2"/>
    <n v="2024"/>
    <n v="1.0982440298234268"/>
  </r>
  <r>
    <d v="2024-03-14T00:00:00"/>
    <x v="0"/>
    <x v="0"/>
    <x v="0"/>
    <s v="Electronics"/>
    <n v="50000"/>
    <n v="3"/>
    <n v="150000"/>
    <n v="130941"/>
    <x v="2"/>
    <n v="2024"/>
    <n v="1.1455541045203566"/>
  </r>
  <r>
    <d v="2024-03-15T00:00:00"/>
    <x v="1"/>
    <x v="2"/>
    <x v="3"/>
    <s v="Electronics"/>
    <n v="30000"/>
    <n v="6"/>
    <n v="180000"/>
    <n v="169008"/>
    <x v="2"/>
    <n v="2024"/>
    <n v="1.0650383413802897"/>
  </r>
  <r>
    <d v="2024-03-16T00:00:00"/>
    <x v="2"/>
    <x v="3"/>
    <x v="0"/>
    <s v="Electronics"/>
    <n v="50000"/>
    <n v="4"/>
    <n v="200000"/>
    <n v="191834"/>
    <x v="2"/>
    <n v="2024"/>
    <n v="1.0425680536297006"/>
  </r>
  <r>
    <d v="2024-03-17T00:00:00"/>
    <x v="3"/>
    <x v="1"/>
    <x v="2"/>
    <s v="Electronics"/>
    <n v="20000"/>
    <n v="7"/>
    <n v="140000"/>
    <n v="156519"/>
    <x v="2"/>
    <n v="2024"/>
    <n v="0.89446009749615063"/>
  </r>
  <r>
    <d v="2024-03-18T00:00:00"/>
    <x v="1"/>
    <x v="1"/>
    <x v="1"/>
    <s v="Office"/>
    <n v="15000"/>
    <n v="1"/>
    <n v="15000"/>
    <n v="10352"/>
    <x v="2"/>
    <n v="2024"/>
    <n v="1.4489953632148378"/>
  </r>
  <r>
    <d v="2024-03-19T00:00:00"/>
    <x v="1"/>
    <x v="0"/>
    <x v="1"/>
    <s v="Office"/>
    <n v="15000"/>
    <n v="9"/>
    <n v="135000"/>
    <n v="127003"/>
    <x v="2"/>
    <n v="2024"/>
    <n v="1.0629670165271687"/>
  </r>
  <r>
    <d v="2024-03-20T00:00:00"/>
    <x v="1"/>
    <x v="4"/>
    <x v="1"/>
    <s v="Office"/>
    <n v="15000"/>
    <n v="5"/>
    <n v="75000"/>
    <n v="93361"/>
    <x v="2"/>
    <n v="2024"/>
    <n v="0.80333329762963124"/>
  </r>
  <r>
    <d v="2024-03-21T00:00:00"/>
    <x v="2"/>
    <x v="1"/>
    <x v="0"/>
    <s v="Electronics"/>
    <n v="50000"/>
    <n v="9"/>
    <n v="450000"/>
    <n v="469794"/>
    <x v="2"/>
    <n v="2024"/>
    <n v="0.95786663942068229"/>
  </r>
  <r>
    <d v="2024-03-22T00:00:00"/>
    <x v="0"/>
    <x v="0"/>
    <x v="0"/>
    <s v="Electronics"/>
    <n v="50000"/>
    <n v="5"/>
    <n v="250000"/>
    <n v="232353"/>
    <x v="2"/>
    <n v="2024"/>
    <n v="1.0759490946964316"/>
  </r>
  <r>
    <d v="2024-03-23T00:00:00"/>
    <x v="2"/>
    <x v="2"/>
    <x v="0"/>
    <s v="Electronics"/>
    <n v="50000"/>
    <n v="2"/>
    <n v="100000"/>
    <n v="106981"/>
    <x v="2"/>
    <n v="2024"/>
    <n v="0.93474542208429534"/>
  </r>
  <r>
    <d v="2024-03-24T00:00:00"/>
    <x v="2"/>
    <x v="2"/>
    <x v="2"/>
    <s v="Electronics"/>
    <n v="20000"/>
    <n v="2"/>
    <n v="40000"/>
    <n v="41875"/>
    <x v="2"/>
    <n v="2024"/>
    <n v="0.95522388059701491"/>
  </r>
  <r>
    <d v="2024-03-25T00:00:00"/>
    <x v="2"/>
    <x v="0"/>
    <x v="3"/>
    <s v="Electronics"/>
    <n v="30000"/>
    <n v="7"/>
    <n v="210000"/>
    <n v="192665"/>
    <x v="2"/>
    <n v="2024"/>
    <n v="1.0899748267718579"/>
  </r>
  <r>
    <d v="2024-03-26T00:00:00"/>
    <x v="3"/>
    <x v="4"/>
    <x v="3"/>
    <s v="Electronics"/>
    <n v="30000"/>
    <n v="1"/>
    <n v="30000"/>
    <n v="10851"/>
    <x v="2"/>
    <n v="2024"/>
    <n v="2.7647221454243849"/>
  </r>
  <r>
    <d v="2024-03-27T00:00:00"/>
    <x v="0"/>
    <x v="3"/>
    <x v="2"/>
    <s v="Electronics"/>
    <n v="20000"/>
    <n v="5"/>
    <n v="100000"/>
    <n v="119920"/>
    <x v="2"/>
    <n v="2024"/>
    <n v="0.83388925950633752"/>
  </r>
  <r>
    <d v="2024-03-28T00:00:00"/>
    <x v="3"/>
    <x v="1"/>
    <x v="2"/>
    <s v="Electronics"/>
    <n v="20000"/>
    <n v="5"/>
    <n v="100000"/>
    <n v="113572"/>
    <x v="2"/>
    <n v="2024"/>
    <n v="0.88049871447187689"/>
  </r>
  <r>
    <d v="2024-03-29T00:00:00"/>
    <x v="0"/>
    <x v="4"/>
    <x v="0"/>
    <s v="Electronics"/>
    <n v="50000"/>
    <n v="9"/>
    <n v="450000"/>
    <n v="443867"/>
    <x v="2"/>
    <n v="2024"/>
    <n v="1.013817201999698"/>
  </r>
  <r>
    <d v="2024-03-30T00:00:00"/>
    <x v="3"/>
    <x v="3"/>
    <x v="3"/>
    <s v="Electronics"/>
    <n v="30000"/>
    <n v="4"/>
    <n v="120000"/>
    <n v="135155"/>
    <x v="2"/>
    <n v="2024"/>
    <n v="0.8878694831859717"/>
  </r>
  <r>
    <d v="2024-03-31T00:00:00"/>
    <x v="0"/>
    <x v="2"/>
    <x v="2"/>
    <s v="Electronics"/>
    <n v="20000"/>
    <n v="3"/>
    <n v="60000"/>
    <n v="53537"/>
    <x v="2"/>
    <n v="2024"/>
    <n v="1.1207202495470423"/>
  </r>
  <r>
    <d v="2024-04-01T00:00:00"/>
    <x v="2"/>
    <x v="0"/>
    <x v="0"/>
    <s v="Electronics"/>
    <n v="50000"/>
    <n v="5"/>
    <n v="250000"/>
    <n v="266666"/>
    <x v="3"/>
    <n v="2024"/>
    <n v="0.93750234375585939"/>
  </r>
  <r>
    <d v="2024-04-02T00:00:00"/>
    <x v="3"/>
    <x v="2"/>
    <x v="0"/>
    <s v="Electronics"/>
    <n v="50000"/>
    <n v="8"/>
    <n v="400000"/>
    <n v="405274"/>
    <x v="3"/>
    <n v="2024"/>
    <n v="0.98698658191741884"/>
  </r>
  <r>
    <d v="2024-04-03T00:00:00"/>
    <x v="2"/>
    <x v="1"/>
    <x v="2"/>
    <s v="Electronics"/>
    <n v="20000"/>
    <n v="7"/>
    <n v="140000"/>
    <n v="125346"/>
    <x v="3"/>
    <n v="2024"/>
    <n v="1.1169083975555663"/>
  </r>
  <r>
    <d v="2024-04-04T00:00:00"/>
    <x v="3"/>
    <x v="3"/>
    <x v="0"/>
    <s v="Electronics"/>
    <n v="50000"/>
    <n v="2"/>
    <n v="100000"/>
    <n v="103836"/>
    <x v="3"/>
    <n v="2024"/>
    <n v="0.96305712854886549"/>
  </r>
  <r>
    <d v="2024-04-05T00:00:00"/>
    <x v="0"/>
    <x v="0"/>
    <x v="0"/>
    <s v="Electronics"/>
    <n v="50000"/>
    <n v="9"/>
    <n v="450000"/>
    <n v="467229"/>
    <x v="3"/>
    <n v="2024"/>
    <n v="0.96312514848179376"/>
  </r>
  <r>
    <d v="2024-04-06T00:00:00"/>
    <x v="2"/>
    <x v="1"/>
    <x v="2"/>
    <s v="Electronics"/>
    <n v="20000"/>
    <n v="6"/>
    <n v="120000"/>
    <n v="134439"/>
    <x v="3"/>
    <n v="2024"/>
    <n v="0.89259813000691768"/>
  </r>
  <r>
    <d v="2024-04-07T00:00:00"/>
    <x v="3"/>
    <x v="2"/>
    <x v="3"/>
    <s v="Electronics"/>
    <n v="30000"/>
    <n v="5"/>
    <n v="150000"/>
    <n v="145835"/>
    <x v="3"/>
    <n v="2024"/>
    <n v="1.0285596736037304"/>
  </r>
  <r>
    <d v="2024-04-08T00:00:00"/>
    <x v="0"/>
    <x v="1"/>
    <x v="3"/>
    <s v="Electronics"/>
    <n v="30000"/>
    <n v="5"/>
    <n v="150000"/>
    <n v="156951"/>
    <x v="3"/>
    <n v="2024"/>
    <n v="0.95571229237150446"/>
  </r>
  <r>
    <d v="2024-04-09T00:00:00"/>
    <x v="3"/>
    <x v="2"/>
    <x v="2"/>
    <s v="Electronics"/>
    <n v="20000"/>
    <n v="4"/>
    <n v="80000"/>
    <n v="84028"/>
    <x v="3"/>
    <n v="2024"/>
    <n v="0.95206359784833627"/>
  </r>
  <r>
    <d v="2024-04-10T00:00:00"/>
    <x v="0"/>
    <x v="0"/>
    <x v="3"/>
    <s v="Electronics"/>
    <n v="30000"/>
    <n v="1"/>
    <n v="30000"/>
    <n v="17528"/>
    <x v="3"/>
    <n v="2024"/>
    <n v="1.7115472387037882"/>
  </r>
  <r>
    <d v="2024-04-11T00:00:00"/>
    <x v="0"/>
    <x v="1"/>
    <x v="3"/>
    <s v="Electronics"/>
    <n v="30000"/>
    <n v="4"/>
    <n v="120000"/>
    <n v="127362"/>
    <x v="3"/>
    <n v="2024"/>
    <n v="0.94219625948084984"/>
  </r>
  <r>
    <d v="2024-04-12T00:00:00"/>
    <x v="1"/>
    <x v="0"/>
    <x v="1"/>
    <s v="Office"/>
    <n v="15000"/>
    <n v="1"/>
    <n v="15000"/>
    <n v="22763"/>
    <x v="3"/>
    <n v="2024"/>
    <n v="0.65896410842156128"/>
  </r>
  <r>
    <d v="2024-04-13T00:00:00"/>
    <x v="2"/>
    <x v="4"/>
    <x v="0"/>
    <s v="Electronics"/>
    <n v="50000"/>
    <n v="3"/>
    <n v="150000"/>
    <n v="140413"/>
    <x v="3"/>
    <n v="2024"/>
    <n v="1.0682771538247884"/>
  </r>
  <r>
    <d v="2024-04-14T00:00:00"/>
    <x v="1"/>
    <x v="4"/>
    <x v="2"/>
    <s v="Electronics"/>
    <n v="20000"/>
    <n v="2"/>
    <n v="40000"/>
    <n v="55235"/>
    <x v="3"/>
    <n v="2024"/>
    <n v="0.72417851000271571"/>
  </r>
  <r>
    <d v="2024-04-15T00:00:00"/>
    <x v="2"/>
    <x v="4"/>
    <x v="2"/>
    <s v="Electronics"/>
    <n v="20000"/>
    <n v="8"/>
    <n v="160000"/>
    <n v="156036"/>
    <x v="3"/>
    <n v="2024"/>
    <n v="1.0254043938578277"/>
  </r>
  <r>
    <d v="2024-04-16T00:00:00"/>
    <x v="1"/>
    <x v="3"/>
    <x v="2"/>
    <s v="Electronics"/>
    <n v="20000"/>
    <n v="3"/>
    <n v="60000"/>
    <n v="63757"/>
    <x v="3"/>
    <n v="2024"/>
    <n v="0.94107313706730245"/>
  </r>
  <r>
    <d v="2024-04-17T00:00:00"/>
    <x v="1"/>
    <x v="4"/>
    <x v="1"/>
    <s v="Office"/>
    <n v="15000"/>
    <n v="8"/>
    <n v="120000"/>
    <n v="134330"/>
    <x v="3"/>
    <n v="2024"/>
    <n v="0.8933224149482617"/>
  </r>
  <r>
    <d v="2024-04-18T00:00:00"/>
    <x v="0"/>
    <x v="1"/>
    <x v="1"/>
    <s v="Office"/>
    <n v="15000"/>
    <n v="3"/>
    <n v="45000"/>
    <n v="53250"/>
    <x v="3"/>
    <n v="2024"/>
    <n v="0.84507042253521125"/>
  </r>
  <r>
    <d v="2024-04-19T00:00:00"/>
    <x v="1"/>
    <x v="2"/>
    <x v="2"/>
    <s v="Electronics"/>
    <n v="20000"/>
    <n v="9"/>
    <n v="180000"/>
    <n v="164736"/>
    <x v="3"/>
    <n v="2024"/>
    <n v="1.0926573426573427"/>
  </r>
  <r>
    <d v="2024-04-20T00:00:00"/>
    <x v="1"/>
    <x v="0"/>
    <x v="2"/>
    <s v="Electronics"/>
    <n v="20000"/>
    <n v="8"/>
    <n v="160000"/>
    <n v="144702"/>
    <x v="3"/>
    <n v="2024"/>
    <n v="1.1057207225884922"/>
  </r>
  <r>
    <d v="2024-04-21T00:00:00"/>
    <x v="1"/>
    <x v="4"/>
    <x v="3"/>
    <s v="Electronics"/>
    <n v="30000"/>
    <n v="6"/>
    <n v="180000"/>
    <n v="162987"/>
    <x v="3"/>
    <n v="2024"/>
    <n v="1.1043825581181321"/>
  </r>
  <r>
    <d v="2024-04-22T00:00:00"/>
    <x v="1"/>
    <x v="2"/>
    <x v="2"/>
    <s v="Electronics"/>
    <n v="20000"/>
    <n v="3"/>
    <n v="60000"/>
    <n v="51100"/>
    <x v="3"/>
    <n v="2024"/>
    <n v="1.1741682974559686"/>
  </r>
  <r>
    <d v="2024-04-23T00:00:00"/>
    <x v="1"/>
    <x v="4"/>
    <x v="3"/>
    <s v="Electronics"/>
    <n v="30000"/>
    <n v="5"/>
    <n v="150000"/>
    <n v="140461"/>
    <x v="3"/>
    <n v="2024"/>
    <n v="1.0679120894767942"/>
  </r>
  <r>
    <d v="2024-04-24T00:00:00"/>
    <x v="3"/>
    <x v="1"/>
    <x v="3"/>
    <s v="Electronics"/>
    <n v="30000"/>
    <n v="3"/>
    <n v="90000"/>
    <n v="90129"/>
    <x v="3"/>
    <n v="2024"/>
    <n v="0.99856871817062209"/>
  </r>
  <r>
    <d v="2024-04-25T00:00:00"/>
    <x v="0"/>
    <x v="3"/>
    <x v="2"/>
    <s v="Electronics"/>
    <n v="20000"/>
    <n v="1"/>
    <n v="20000"/>
    <n v="21960"/>
    <x v="3"/>
    <n v="2024"/>
    <n v="0.91074681238615662"/>
  </r>
  <r>
    <d v="2024-04-26T00:00:00"/>
    <x v="2"/>
    <x v="1"/>
    <x v="0"/>
    <s v="Electronics"/>
    <n v="50000"/>
    <n v="9"/>
    <n v="450000"/>
    <n v="453672"/>
    <x v="3"/>
    <n v="2024"/>
    <n v="0.99190604665926041"/>
  </r>
  <r>
    <d v="2024-04-27T00:00:00"/>
    <x v="0"/>
    <x v="2"/>
    <x v="2"/>
    <s v="Electronics"/>
    <n v="20000"/>
    <n v="9"/>
    <n v="180000"/>
    <n v="183842"/>
    <x v="3"/>
    <n v="2024"/>
    <n v="0.9791016198692355"/>
  </r>
  <r>
    <d v="2024-04-28T00:00:00"/>
    <x v="1"/>
    <x v="4"/>
    <x v="0"/>
    <s v="Electronics"/>
    <n v="50000"/>
    <n v="6"/>
    <n v="300000"/>
    <n v="287828"/>
    <x v="3"/>
    <n v="2024"/>
    <n v="1.0422891449059855"/>
  </r>
  <r>
    <d v="2024-04-29T00:00:00"/>
    <x v="3"/>
    <x v="4"/>
    <x v="1"/>
    <s v="Office"/>
    <n v="15000"/>
    <n v="7"/>
    <n v="105000"/>
    <n v="89930"/>
    <x v="3"/>
    <n v="2024"/>
    <n v="1.1675747803847436"/>
  </r>
  <r>
    <d v="2024-04-30T00:00:00"/>
    <x v="2"/>
    <x v="0"/>
    <x v="3"/>
    <s v="Electronics"/>
    <n v="30000"/>
    <n v="6"/>
    <n v="180000"/>
    <n v="179835"/>
    <x v="3"/>
    <n v="2024"/>
    <n v="1.0009175077154058"/>
  </r>
  <r>
    <d v="2024-05-01T00:00:00"/>
    <x v="2"/>
    <x v="2"/>
    <x v="0"/>
    <s v="Electronics"/>
    <n v="50000"/>
    <n v="7"/>
    <n v="350000"/>
    <n v="339037"/>
    <x v="4"/>
    <n v="2024"/>
    <n v="1.0323357037727445"/>
  </r>
  <r>
    <d v="2024-05-02T00:00:00"/>
    <x v="0"/>
    <x v="3"/>
    <x v="1"/>
    <s v="Office"/>
    <n v="15000"/>
    <n v="2"/>
    <n v="30000"/>
    <n v="34813"/>
    <x v="4"/>
    <n v="2024"/>
    <n v="0.86174704851635886"/>
  </r>
  <r>
    <d v="2024-05-03T00:00:00"/>
    <x v="2"/>
    <x v="1"/>
    <x v="0"/>
    <s v="Electronics"/>
    <n v="50000"/>
    <n v="6"/>
    <n v="300000"/>
    <n v="302957"/>
    <x v="4"/>
    <n v="2024"/>
    <n v="0.9902395389444707"/>
  </r>
  <r>
    <d v="2024-05-04T00:00:00"/>
    <x v="1"/>
    <x v="3"/>
    <x v="2"/>
    <s v="Electronics"/>
    <n v="20000"/>
    <n v="8"/>
    <n v="160000"/>
    <n v="179308"/>
    <x v="4"/>
    <n v="2024"/>
    <n v="0.8923193610993374"/>
  </r>
  <r>
    <d v="2024-05-05T00:00:00"/>
    <x v="2"/>
    <x v="2"/>
    <x v="1"/>
    <s v="Office"/>
    <n v="15000"/>
    <n v="7"/>
    <n v="105000"/>
    <n v="115919"/>
    <x v="4"/>
    <n v="2024"/>
    <n v="0.90580491550134146"/>
  </r>
  <r>
    <d v="2024-05-06T00:00:00"/>
    <x v="1"/>
    <x v="0"/>
    <x v="3"/>
    <s v="Electronics"/>
    <n v="30000"/>
    <n v="4"/>
    <n v="120000"/>
    <n v="106282"/>
    <x v="4"/>
    <n v="2024"/>
    <n v="1.1290717148717562"/>
  </r>
  <r>
    <d v="2024-05-07T00:00:00"/>
    <x v="1"/>
    <x v="3"/>
    <x v="1"/>
    <s v="Office"/>
    <n v="15000"/>
    <n v="4"/>
    <n v="60000"/>
    <n v="45245"/>
    <x v="4"/>
    <n v="2024"/>
    <n v="1.3261133826942204"/>
  </r>
  <r>
    <d v="2024-05-08T00:00:00"/>
    <x v="0"/>
    <x v="1"/>
    <x v="2"/>
    <s v="Electronics"/>
    <n v="20000"/>
    <n v="5"/>
    <n v="100000"/>
    <n v="88901"/>
    <x v="4"/>
    <n v="2024"/>
    <n v="1.1248467396317252"/>
  </r>
  <r>
    <d v="2024-05-09T00:00:00"/>
    <x v="3"/>
    <x v="3"/>
    <x v="1"/>
    <s v="Office"/>
    <n v="15000"/>
    <n v="6"/>
    <n v="90000"/>
    <n v="78616"/>
    <x v="4"/>
    <n v="2024"/>
    <n v="1.1448051287269767"/>
  </r>
  <r>
    <d v="2024-05-10T00:00:00"/>
    <x v="2"/>
    <x v="3"/>
    <x v="2"/>
    <s v="Electronics"/>
    <n v="20000"/>
    <n v="8"/>
    <n v="160000"/>
    <n v="150904"/>
    <x v="4"/>
    <n v="2024"/>
    <n v="1.0602767322271114"/>
  </r>
  <r>
    <d v="2024-05-11T00:00:00"/>
    <x v="2"/>
    <x v="2"/>
    <x v="2"/>
    <s v="Electronics"/>
    <n v="20000"/>
    <n v="2"/>
    <n v="40000"/>
    <n v="27303"/>
    <x v="4"/>
    <n v="2024"/>
    <n v="1.4650404717430319"/>
  </r>
  <r>
    <d v="2024-05-12T00:00:00"/>
    <x v="0"/>
    <x v="0"/>
    <x v="3"/>
    <s v="Electronics"/>
    <n v="30000"/>
    <n v="1"/>
    <n v="30000"/>
    <n v="41732"/>
    <x v="4"/>
    <n v="2024"/>
    <n v="0.71887280743793736"/>
  </r>
  <r>
    <d v="2024-05-13T00:00:00"/>
    <x v="1"/>
    <x v="2"/>
    <x v="2"/>
    <s v="Electronics"/>
    <n v="20000"/>
    <n v="7"/>
    <n v="140000"/>
    <n v="148960"/>
    <x v="4"/>
    <n v="2024"/>
    <n v="0.93984962406015038"/>
  </r>
  <r>
    <d v="2024-05-14T00:00:00"/>
    <x v="2"/>
    <x v="1"/>
    <x v="1"/>
    <s v="Office"/>
    <n v="15000"/>
    <n v="3"/>
    <n v="45000"/>
    <n v="57308"/>
    <x v="4"/>
    <n v="2024"/>
    <n v="0.78523068332519019"/>
  </r>
  <r>
    <d v="2024-05-15T00:00:00"/>
    <x v="1"/>
    <x v="4"/>
    <x v="0"/>
    <s v="Electronics"/>
    <n v="50000"/>
    <n v="7"/>
    <n v="350000"/>
    <n v="340825"/>
    <x v="4"/>
    <n v="2024"/>
    <n v="1.0269199735934864"/>
  </r>
  <r>
    <d v="2024-05-16T00:00:00"/>
    <x v="2"/>
    <x v="4"/>
    <x v="1"/>
    <s v="Office"/>
    <n v="15000"/>
    <n v="4"/>
    <n v="60000"/>
    <n v="67724"/>
    <x v="4"/>
    <n v="2024"/>
    <n v="0.88594885121965627"/>
  </r>
  <r>
    <d v="2024-05-17T00:00:00"/>
    <x v="1"/>
    <x v="2"/>
    <x v="2"/>
    <s v="Electronics"/>
    <n v="20000"/>
    <n v="1"/>
    <n v="20000"/>
    <n v="39021"/>
    <x v="4"/>
    <n v="2024"/>
    <n v="0.51254452730580968"/>
  </r>
  <r>
    <d v="2024-05-18T00:00:00"/>
    <x v="2"/>
    <x v="2"/>
    <x v="2"/>
    <s v="Electronics"/>
    <n v="20000"/>
    <n v="8"/>
    <n v="160000"/>
    <n v="160462"/>
    <x v="4"/>
    <n v="2024"/>
    <n v="0.99712081365058391"/>
  </r>
  <r>
    <d v="2024-05-19T00:00:00"/>
    <x v="2"/>
    <x v="4"/>
    <x v="3"/>
    <s v="Electronics"/>
    <n v="30000"/>
    <n v="5"/>
    <n v="150000"/>
    <n v="153018"/>
    <x v="4"/>
    <n v="2024"/>
    <n v="0.98027683017684197"/>
  </r>
  <r>
    <d v="2024-05-20T00:00:00"/>
    <x v="0"/>
    <x v="4"/>
    <x v="0"/>
    <s v="Electronics"/>
    <n v="50000"/>
    <n v="3"/>
    <n v="150000"/>
    <n v="164202"/>
    <x v="4"/>
    <n v="2024"/>
    <n v="0.91350897065809189"/>
  </r>
  <r>
    <d v="2024-05-21T00:00:00"/>
    <x v="2"/>
    <x v="3"/>
    <x v="0"/>
    <s v="Electronics"/>
    <n v="50000"/>
    <n v="3"/>
    <n v="150000"/>
    <n v="156214"/>
    <x v="4"/>
    <n v="2024"/>
    <n v="0.96022123497253764"/>
  </r>
  <r>
    <d v="2024-05-22T00:00:00"/>
    <x v="1"/>
    <x v="4"/>
    <x v="0"/>
    <s v="Electronics"/>
    <n v="50000"/>
    <n v="6"/>
    <n v="300000"/>
    <n v="280612"/>
    <x v="4"/>
    <n v="2024"/>
    <n v="1.0690918421165168"/>
  </r>
  <r>
    <d v="2024-05-23T00:00:00"/>
    <x v="0"/>
    <x v="1"/>
    <x v="2"/>
    <s v="Electronics"/>
    <n v="20000"/>
    <n v="9"/>
    <n v="180000"/>
    <n v="187045"/>
    <x v="4"/>
    <n v="2024"/>
    <n v="0.96233526691437887"/>
  </r>
  <r>
    <d v="2024-05-24T00:00:00"/>
    <x v="0"/>
    <x v="0"/>
    <x v="3"/>
    <s v="Electronics"/>
    <n v="30000"/>
    <n v="2"/>
    <n v="60000"/>
    <n v="49114"/>
    <x v="4"/>
    <n v="2024"/>
    <n v="1.2216475953903163"/>
  </r>
  <r>
    <d v="2024-05-25T00:00:00"/>
    <x v="1"/>
    <x v="0"/>
    <x v="3"/>
    <s v="Electronics"/>
    <n v="30000"/>
    <n v="9"/>
    <n v="270000"/>
    <n v="251608"/>
    <x v="4"/>
    <n v="2024"/>
    <n v="1.0730978347270357"/>
  </r>
  <r>
    <d v="2024-05-26T00:00:00"/>
    <x v="0"/>
    <x v="4"/>
    <x v="0"/>
    <s v="Electronics"/>
    <n v="50000"/>
    <n v="8"/>
    <n v="400000"/>
    <n v="391498"/>
    <x v="4"/>
    <n v="2024"/>
    <n v="1.0217165860361994"/>
  </r>
  <r>
    <d v="2024-05-27T00:00:00"/>
    <x v="1"/>
    <x v="2"/>
    <x v="0"/>
    <s v="Electronics"/>
    <n v="50000"/>
    <n v="3"/>
    <n v="150000"/>
    <n v="146384"/>
    <x v="4"/>
    <n v="2024"/>
    <n v="1.0247021532407914"/>
  </r>
  <r>
    <d v="2024-05-28T00:00:00"/>
    <x v="1"/>
    <x v="4"/>
    <x v="3"/>
    <s v="Electronics"/>
    <n v="30000"/>
    <n v="4"/>
    <n v="120000"/>
    <n v="102098"/>
    <x v="4"/>
    <n v="2024"/>
    <n v="1.1753413387137848"/>
  </r>
  <r>
    <d v="2024-05-29T00:00:00"/>
    <x v="2"/>
    <x v="0"/>
    <x v="1"/>
    <s v="Office"/>
    <n v="15000"/>
    <n v="7"/>
    <n v="105000"/>
    <n v="123372"/>
    <x v="4"/>
    <n v="2024"/>
    <n v="0.85108452485166808"/>
  </r>
  <r>
    <d v="2024-05-30T00:00:00"/>
    <x v="0"/>
    <x v="0"/>
    <x v="3"/>
    <s v="Electronics"/>
    <n v="30000"/>
    <n v="2"/>
    <n v="60000"/>
    <n v="64204"/>
    <x v="4"/>
    <n v="2024"/>
    <n v="0.93452121363154939"/>
  </r>
  <r>
    <d v="2024-05-31T00:00:00"/>
    <x v="2"/>
    <x v="3"/>
    <x v="1"/>
    <s v="Office"/>
    <n v="15000"/>
    <n v="6"/>
    <n v="90000"/>
    <n v="101782"/>
    <x v="4"/>
    <n v="2024"/>
    <n v="0.88424279342123357"/>
  </r>
  <r>
    <d v="2024-06-01T00:00:00"/>
    <x v="0"/>
    <x v="3"/>
    <x v="3"/>
    <s v="Electronics"/>
    <n v="30000"/>
    <n v="7"/>
    <n v="210000"/>
    <n v="218582"/>
    <x v="5"/>
    <n v="2024"/>
    <n v="0.96073784666623963"/>
  </r>
  <r>
    <d v="2024-06-02T00:00:00"/>
    <x v="0"/>
    <x v="3"/>
    <x v="2"/>
    <s v="Electronics"/>
    <n v="20000"/>
    <n v="3"/>
    <n v="60000"/>
    <n v="63218"/>
    <x v="5"/>
    <n v="2024"/>
    <n v="0.94909677623461675"/>
  </r>
  <r>
    <d v="2024-06-03T00:00:00"/>
    <x v="2"/>
    <x v="4"/>
    <x v="0"/>
    <s v="Electronics"/>
    <n v="50000"/>
    <n v="4"/>
    <n v="200000"/>
    <n v="205544"/>
    <x v="5"/>
    <n v="2024"/>
    <n v="0.97302767290701753"/>
  </r>
  <r>
    <d v="2024-06-04T00:00:00"/>
    <x v="1"/>
    <x v="4"/>
    <x v="2"/>
    <s v="Electronics"/>
    <n v="20000"/>
    <n v="2"/>
    <n v="40000"/>
    <n v="51311"/>
    <x v="5"/>
    <n v="2024"/>
    <n v="0.7795599384147649"/>
  </r>
  <r>
    <d v="2024-06-05T00:00:00"/>
    <x v="2"/>
    <x v="4"/>
    <x v="1"/>
    <s v="Office"/>
    <n v="15000"/>
    <n v="6"/>
    <n v="90000"/>
    <n v="84098"/>
    <x v="5"/>
    <n v="2024"/>
    <n v="1.0701800280624985"/>
  </r>
  <r>
    <d v="2024-06-06T00:00:00"/>
    <x v="3"/>
    <x v="3"/>
    <x v="0"/>
    <s v="Electronics"/>
    <n v="50000"/>
    <n v="6"/>
    <n v="300000"/>
    <n v="300016"/>
    <x v="5"/>
    <n v="2024"/>
    <n v="0.99994666951095945"/>
  </r>
  <r>
    <d v="2024-06-07T00:00:00"/>
    <x v="2"/>
    <x v="2"/>
    <x v="3"/>
    <s v="Electronics"/>
    <n v="30000"/>
    <n v="6"/>
    <n v="180000"/>
    <n v="171749"/>
    <x v="5"/>
    <n v="2024"/>
    <n v="1.0480410366290343"/>
  </r>
  <r>
    <d v="2024-06-08T00:00:00"/>
    <x v="3"/>
    <x v="1"/>
    <x v="2"/>
    <s v="Electronics"/>
    <n v="20000"/>
    <n v="1"/>
    <n v="20000"/>
    <n v="35312"/>
    <x v="5"/>
    <n v="2024"/>
    <n v="0.56637970095151791"/>
  </r>
  <r>
    <d v="2024-06-09T00:00:00"/>
    <x v="1"/>
    <x v="2"/>
    <x v="3"/>
    <s v="Electronics"/>
    <n v="30000"/>
    <n v="1"/>
    <n v="30000"/>
    <n v="40109"/>
    <x v="5"/>
    <n v="2024"/>
    <n v="0.74796180408387147"/>
  </r>
  <r>
    <d v="2024-06-10T00:00:00"/>
    <x v="0"/>
    <x v="4"/>
    <x v="2"/>
    <s v="Electronics"/>
    <n v="20000"/>
    <n v="5"/>
    <n v="100000"/>
    <n v="109267"/>
    <x v="5"/>
    <n v="2024"/>
    <n v="0.91518939844600844"/>
  </r>
  <r>
    <d v="2024-06-11T00:00:00"/>
    <x v="3"/>
    <x v="4"/>
    <x v="2"/>
    <s v="Electronics"/>
    <n v="20000"/>
    <n v="2"/>
    <n v="40000"/>
    <n v="45683"/>
    <x v="5"/>
    <n v="2024"/>
    <n v="0.8755992382286627"/>
  </r>
  <r>
    <d v="2024-06-12T00:00:00"/>
    <x v="0"/>
    <x v="3"/>
    <x v="0"/>
    <s v="Electronics"/>
    <n v="50000"/>
    <n v="1"/>
    <n v="50000"/>
    <n v="50183"/>
    <x v="5"/>
    <n v="2024"/>
    <n v="0.99635334675089171"/>
  </r>
  <r>
    <d v="2024-06-13T00:00:00"/>
    <x v="0"/>
    <x v="1"/>
    <x v="0"/>
    <s v="Electronics"/>
    <n v="50000"/>
    <n v="4"/>
    <n v="200000"/>
    <n v="217437"/>
    <x v="5"/>
    <n v="2024"/>
    <n v="0.9198066566407741"/>
  </r>
  <r>
    <d v="2024-06-14T00:00:00"/>
    <x v="2"/>
    <x v="1"/>
    <x v="0"/>
    <s v="Electronics"/>
    <n v="50000"/>
    <n v="5"/>
    <n v="250000"/>
    <n v="262884"/>
    <x v="5"/>
    <n v="2024"/>
    <n v="0.95098979017361274"/>
  </r>
  <r>
    <d v="2024-06-15T00:00:00"/>
    <x v="2"/>
    <x v="0"/>
    <x v="3"/>
    <s v="Electronics"/>
    <n v="30000"/>
    <n v="9"/>
    <n v="270000"/>
    <n v="273088"/>
    <x v="5"/>
    <n v="2024"/>
    <n v="0.98869228966486988"/>
  </r>
  <r>
    <d v="2024-06-16T00:00:00"/>
    <x v="3"/>
    <x v="1"/>
    <x v="2"/>
    <s v="Electronics"/>
    <n v="20000"/>
    <n v="7"/>
    <n v="140000"/>
    <n v="144993"/>
    <x v="5"/>
    <n v="2024"/>
    <n v="0.96556385480678375"/>
  </r>
  <r>
    <d v="2024-06-17T00:00:00"/>
    <x v="2"/>
    <x v="3"/>
    <x v="0"/>
    <s v="Electronics"/>
    <n v="50000"/>
    <n v="8"/>
    <n v="400000"/>
    <n v="388199"/>
    <x v="5"/>
    <n v="2024"/>
    <n v="1.0303993570308012"/>
  </r>
  <r>
    <d v="2024-06-18T00:00:00"/>
    <x v="0"/>
    <x v="3"/>
    <x v="3"/>
    <s v="Electronics"/>
    <n v="30000"/>
    <n v="7"/>
    <n v="210000"/>
    <n v="224384"/>
    <x v="5"/>
    <n v="2024"/>
    <n v="0.93589560752994871"/>
  </r>
  <r>
    <d v="2024-06-19T00:00:00"/>
    <x v="1"/>
    <x v="3"/>
    <x v="1"/>
    <s v="Office"/>
    <n v="15000"/>
    <n v="8"/>
    <n v="120000"/>
    <n v="112263"/>
    <x v="5"/>
    <n v="2024"/>
    <n v="1.0689185216856845"/>
  </r>
  <r>
    <d v="2024-06-20T00:00:00"/>
    <x v="0"/>
    <x v="2"/>
    <x v="3"/>
    <s v="Electronics"/>
    <n v="30000"/>
    <n v="7"/>
    <n v="210000"/>
    <n v="216449"/>
    <x v="5"/>
    <n v="2024"/>
    <n v="0.97020545255464341"/>
  </r>
  <r>
    <d v="2024-06-21T00:00:00"/>
    <x v="2"/>
    <x v="2"/>
    <x v="0"/>
    <s v="Electronics"/>
    <n v="50000"/>
    <n v="6"/>
    <n v="300000"/>
    <n v="309764"/>
    <x v="5"/>
    <n v="2024"/>
    <n v="0.9684792293487946"/>
  </r>
  <r>
    <d v="2024-06-22T00:00:00"/>
    <x v="2"/>
    <x v="4"/>
    <x v="1"/>
    <s v="Office"/>
    <n v="15000"/>
    <n v="9"/>
    <n v="135000"/>
    <n v="122008"/>
    <x v="5"/>
    <n v="2024"/>
    <n v="1.1064848206674973"/>
  </r>
  <r>
    <d v="2024-06-23T00:00:00"/>
    <x v="2"/>
    <x v="1"/>
    <x v="0"/>
    <s v="Electronics"/>
    <n v="50000"/>
    <n v="2"/>
    <n v="100000"/>
    <n v="113533"/>
    <x v="5"/>
    <n v="2024"/>
    <n v="0.88080117675037217"/>
  </r>
  <r>
    <d v="2024-06-24T00:00:00"/>
    <x v="1"/>
    <x v="2"/>
    <x v="3"/>
    <s v="Electronics"/>
    <n v="30000"/>
    <n v="9"/>
    <n v="270000"/>
    <n v="256056"/>
    <x v="5"/>
    <n v="2024"/>
    <n v="1.0544568375667822"/>
  </r>
  <r>
    <d v="2024-06-25T00:00:00"/>
    <x v="1"/>
    <x v="2"/>
    <x v="0"/>
    <s v="Electronics"/>
    <n v="50000"/>
    <n v="5"/>
    <n v="250000"/>
    <n v="237018"/>
    <x v="5"/>
    <n v="2024"/>
    <n v="1.0547722113932274"/>
  </r>
  <r>
    <d v="2024-06-26T00:00:00"/>
    <x v="2"/>
    <x v="3"/>
    <x v="1"/>
    <s v="Office"/>
    <n v="15000"/>
    <n v="7"/>
    <n v="105000"/>
    <n v="124228"/>
    <x v="5"/>
    <n v="2024"/>
    <n v="0.84522007920919595"/>
  </r>
  <r>
    <d v="2024-06-27T00:00:00"/>
    <x v="0"/>
    <x v="1"/>
    <x v="2"/>
    <s v="Electronics"/>
    <n v="20000"/>
    <n v="9"/>
    <n v="180000"/>
    <n v="169425"/>
    <x v="5"/>
    <n v="2024"/>
    <n v="1.0624169986719787"/>
  </r>
  <r>
    <d v="2024-06-28T00:00:00"/>
    <x v="0"/>
    <x v="4"/>
    <x v="1"/>
    <s v="Office"/>
    <n v="15000"/>
    <n v="2"/>
    <n v="30000"/>
    <n v="42016"/>
    <x v="5"/>
    <n v="2024"/>
    <n v="0.71401370906321404"/>
  </r>
  <r>
    <d v="2024-06-29T00:00:00"/>
    <x v="0"/>
    <x v="3"/>
    <x v="2"/>
    <s v="Electronics"/>
    <n v="20000"/>
    <n v="8"/>
    <n v="160000"/>
    <n v="174176"/>
    <x v="5"/>
    <n v="2024"/>
    <n v="0.91861106007716331"/>
  </r>
  <r>
    <d v="2024-06-30T00:00:00"/>
    <x v="2"/>
    <x v="0"/>
    <x v="2"/>
    <s v="Electronics"/>
    <n v="20000"/>
    <n v="7"/>
    <n v="140000"/>
    <n v="145701"/>
    <x v="5"/>
    <n v="2024"/>
    <n v="0.96087192263608345"/>
  </r>
  <r>
    <d v="2024-07-01T00:00:00"/>
    <x v="1"/>
    <x v="2"/>
    <x v="0"/>
    <s v="Electronics"/>
    <n v="50000"/>
    <n v="1"/>
    <n v="50000"/>
    <n v="65883"/>
    <x v="6"/>
    <n v="2024"/>
    <n v="0.75892111773902216"/>
  </r>
  <r>
    <d v="2024-07-02T00:00:00"/>
    <x v="0"/>
    <x v="3"/>
    <x v="1"/>
    <s v="Office"/>
    <n v="15000"/>
    <n v="7"/>
    <n v="105000"/>
    <n v="100265"/>
    <x v="6"/>
    <n v="2024"/>
    <n v="1.0472248541365381"/>
  </r>
  <r>
    <d v="2024-07-03T00:00:00"/>
    <x v="3"/>
    <x v="4"/>
    <x v="0"/>
    <s v="Electronics"/>
    <n v="50000"/>
    <n v="8"/>
    <n v="400000"/>
    <n v="399126"/>
    <x v="6"/>
    <n v="2024"/>
    <n v="1.0021897846795247"/>
  </r>
  <r>
    <d v="2024-07-04T00:00:00"/>
    <x v="1"/>
    <x v="1"/>
    <x v="3"/>
    <s v="Electronics"/>
    <n v="30000"/>
    <n v="8"/>
    <n v="240000"/>
    <n v="225630"/>
    <x v="6"/>
    <n v="2024"/>
    <n v="1.0636883393165801"/>
  </r>
  <r>
    <d v="2024-07-05T00:00:00"/>
    <x v="1"/>
    <x v="4"/>
    <x v="3"/>
    <s v="Electronics"/>
    <n v="30000"/>
    <n v="6"/>
    <n v="180000"/>
    <n v="196134"/>
    <x v="6"/>
    <n v="2024"/>
    <n v="0.91773991250879505"/>
  </r>
  <r>
    <d v="2024-07-06T00:00:00"/>
    <x v="3"/>
    <x v="2"/>
    <x v="2"/>
    <s v="Electronics"/>
    <n v="20000"/>
    <n v="6"/>
    <n v="120000"/>
    <n v="133339"/>
    <x v="6"/>
    <n v="2024"/>
    <n v="0.89996175162555592"/>
  </r>
  <r>
    <d v="2024-07-07T00:00:00"/>
    <x v="3"/>
    <x v="3"/>
    <x v="0"/>
    <s v="Electronics"/>
    <n v="50000"/>
    <n v="2"/>
    <n v="100000"/>
    <n v="118607"/>
    <x v="6"/>
    <n v="2024"/>
    <n v="0.8431205578085611"/>
  </r>
  <r>
    <d v="2024-07-08T00:00:00"/>
    <x v="1"/>
    <x v="3"/>
    <x v="2"/>
    <s v="Electronics"/>
    <n v="20000"/>
    <n v="8"/>
    <n v="160000"/>
    <n v="159480"/>
    <x v="6"/>
    <n v="2024"/>
    <n v="1.0032605969400552"/>
  </r>
  <r>
    <d v="2024-07-09T00:00:00"/>
    <x v="0"/>
    <x v="4"/>
    <x v="1"/>
    <s v="Office"/>
    <n v="15000"/>
    <n v="4"/>
    <n v="60000"/>
    <n v="60045"/>
    <x v="6"/>
    <n v="2024"/>
    <n v="0.99925056207844121"/>
  </r>
  <r>
    <d v="2024-07-10T00:00:00"/>
    <x v="2"/>
    <x v="4"/>
    <x v="2"/>
    <s v="Electronics"/>
    <n v="20000"/>
    <n v="7"/>
    <n v="140000"/>
    <n v="150306"/>
    <x v="6"/>
    <n v="2024"/>
    <n v="0.93143320958577835"/>
  </r>
  <r>
    <d v="2024-07-11T00:00:00"/>
    <x v="2"/>
    <x v="4"/>
    <x v="3"/>
    <s v="Electronics"/>
    <n v="30000"/>
    <n v="2"/>
    <n v="60000"/>
    <n v="69285"/>
    <x v="6"/>
    <n v="2024"/>
    <n v="0.86598830915782632"/>
  </r>
  <r>
    <d v="2024-07-12T00:00:00"/>
    <x v="3"/>
    <x v="3"/>
    <x v="2"/>
    <s v="Electronics"/>
    <n v="20000"/>
    <n v="8"/>
    <n v="160000"/>
    <n v="155972"/>
    <x v="6"/>
    <n v="2024"/>
    <n v="1.0258251481035057"/>
  </r>
  <r>
    <d v="2024-07-13T00:00:00"/>
    <x v="1"/>
    <x v="2"/>
    <x v="1"/>
    <s v="Office"/>
    <n v="15000"/>
    <n v="3"/>
    <n v="45000"/>
    <n v="31241"/>
    <x v="6"/>
    <n v="2024"/>
    <n v="1.4404148394737684"/>
  </r>
  <r>
    <d v="2024-07-14T00:00:00"/>
    <x v="0"/>
    <x v="0"/>
    <x v="0"/>
    <s v="Electronics"/>
    <n v="50000"/>
    <n v="2"/>
    <n v="100000"/>
    <n v="117985"/>
    <x v="6"/>
    <n v="2024"/>
    <n v="0.84756536847904396"/>
  </r>
  <r>
    <d v="2024-07-15T00:00:00"/>
    <x v="3"/>
    <x v="3"/>
    <x v="0"/>
    <s v="Electronics"/>
    <n v="50000"/>
    <n v="7"/>
    <n v="350000"/>
    <n v="366915"/>
    <x v="6"/>
    <n v="2024"/>
    <n v="0.95389940449422894"/>
  </r>
  <r>
    <d v="2024-07-16T00:00:00"/>
    <x v="2"/>
    <x v="2"/>
    <x v="1"/>
    <s v="Office"/>
    <n v="15000"/>
    <n v="3"/>
    <n v="45000"/>
    <n v="25645"/>
    <x v="6"/>
    <n v="2024"/>
    <n v="1.7547280171573405"/>
  </r>
  <r>
    <d v="2024-07-17T00:00:00"/>
    <x v="0"/>
    <x v="0"/>
    <x v="0"/>
    <s v="Electronics"/>
    <n v="50000"/>
    <n v="8"/>
    <n v="400000"/>
    <n v="402791"/>
    <x v="6"/>
    <n v="2024"/>
    <n v="0.99307084815698465"/>
  </r>
  <r>
    <d v="2024-07-18T00:00:00"/>
    <x v="0"/>
    <x v="2"/>
    <x v="1"/>
    <s v="Office"/>
    <n v="15000"/>
    <n v="8"/>
    <n v="120000"/>
    <n v="133393"/>
    <x v="6"/>
    <n v="2024"/>
    <n v="0.89959743015000793"/>
  </r>
  <r>
    <d v="2024-07-19T00:00:00"/>
    <x v="3"/>
    <x v="1"/>
    <x v="2"/>
    <s v="Electronics"/>
    <n v="20000"/>
    <n v="8"/>
    <n v="160000"/>
    <n v="142555"/>
    <x v="6"/>
    <n v="2024"/>
    <n v="1.1223738206306337"/>
  </r>
  <r>
    <d v="2024-07-20T00:00:00"/>
    <x v="1"/>
    <x v="0"/>
    <x v="0"/>
    <s v="Electronics"/>
    <n v="50000"/>
    <n v="6"/>
    <n v="300000"/>
    <n v="294707"/>
    <x v="6"/>
    <n v="2024"/>
    <n v="1.01796021132854"/>
  </r>
  <r>
    <d v="2024-07-21T00:00:00"/>
    <x v="1"/>
    <x v="3"/>
    <x v="2"/>
    <s v="Electronics"/>
    <n v="20000"/>
    <n v="7"/>
    <n v="140000"/>
    <n v="133195"/>
    <x v="6"/>
    <n v="2024"/>
    <n v="1.0510905064003904"/>
  </r>
  <r>
    <d v="2024-07-22T00:00:00"/>
    <x v="0"/>
    <x v="2"/>
    <x v="2"/>
    <s v="Electronics"/>
    <n v="20000"/>
    <n v="4"/>
    <n v="80000"/>
    <n v="92933"/>
    <x v="6"/>
    <n v="2024"/>
    <n v="0.86083522537742241"/>
  </r>
  <r>
    <d v="2024-07-23T00:00:00"/>
    <x v="0"/>
    <x v="2"/>
    <x v="2"/>
    <s v="Electronics"/>
    <n v="20000"/>
    <n v="1"/>
    <n v="20000"/>
    <n v="7228"/>
    <x v="6"/>
    <n v="2024"/>
    <n v="2.7670171555063643"/>
  </r>
  <r>
    <d v="2024-07-24T00:00:00"/>
    <x v="3"/>
    <x v="1"/>
    <x v="2"/>
    <s v="Electronics"/>
    <n v="20000"/>
    <n v="3"/>
    <n v="60000"/>
    <n v="51957"/>
    <x v="6"/>
    <n v="2024"/>
    <n v="1.1548010855130204"/>
  </r>
  <r>
    <d v="2024-07-25T00:00:00"/>
    <x v="3"/>
    <x v="3"/>
    <x v="2"/>
    <s v="Electronics"/>
    <n v="20000"/>
    <n v="9"/>
    <n v="180000"/>
    <n v="190281"/>
    <x v="6"/>
    <n v="2024"/>
    <n v="0.9459693821243319"/>
  </r>
  <r>
    <d v="2024-07-26T00:00:00"/>
    <x v="0"/>
    <x v="2"/>
    <x v="1"/>
    <s v="Office"/>
    <n v="15000"/>
    <n v="6"/>
    <n v="90000"/>
    <n v="99111"/>
    <x v="6"/>
    <n v="2024"/>
    <n v="0.90807276689772076"/>
  </r>
  <r>
    <d v="2024-07-27T00:00:00"/>
    <x v="1"/>
    <x v="0"/>
    <x v="3"/>
    <s v="Electronics"/>
    <n v="30000"/>
    <n v="9"/>
    <n v="270000"/>
    <n v="286124"/>
    <x v="6"/>
    <n v="2024"/>
    <n v="0.94364681047378063"/>
  </r>
  <r>
    <d v="2024-07-28T00:00:00"/>
    <x v="1"/>
    <x v="0"/>
    <x v="0"/>
    <s v="Electronics"/>
    <n v="50000"/>
    <n v="8"/>
    <n v="400000"/>
    <n v="384845"/>
    <x v="6"/>
    <n v="2024"/>
    <n v="1.0393794904442049"/>
  </r>
  <r>
    <d v="2024-07-29T00:00:00"/>
    <x v="2"/>
    <x v="0"/>
    <x v="3"/>
    <s v="Electronics"/>
    <n v="30000"/>
    <n v="1"/>
    <n v="30000"/>
    <n v="20768"/>
    <x v="6"/>
    <n v="2024"/>
    <n v="1.4445300462249615"/>
  </r>
  <r>
    <d v="2024-07-30T00:00:00"/>
    <x v="2"/>
    <x v="3"/>
    <x v="0"/>
    <s v="Electronics"/>
    <n v="50000"/>
    <n v="7"/>
    <n v="350000"/>
    <n v="356952"/>
    <x v="6"/>
    <n v="2024"/>
    <n v="0.98052399202133622"/>
  </r>
  <r>
    <d v="2024-07-31T00:00:00"/>
    <x v="3"/>
    <x v="1"/>
    <x v="1"/>
    <s v="Office"/>
    <n v="15000"/>
    <n v="3"/>
    <n v="45000"/>
    <n v="46399"/>
    <x v="6"/>
    <n v="2024"/>
    <n v="0.96984848811396795"/>
  </r>
  <r>
    <d v="2024-08-01T00:00:00"/>
    <x v="1"/>
    <x v="4"/>
    <x v="2"/>
    <s v="Electronics"/>
    <n v="20000"/>
    <n v="4"/>
    <n v="80000"/>
    <n v="87309"/>
    <x v="7"/>
    <n v="2024"/>
    <n v="0.91628583536634256"/>
  </r>
  <r>
    <d v="2024-08-02T00:00:00"/>
    <x v="2"/>
    <x v="2"/>
    <x v="2"/>
    <s v="Electronics"/>
    <n v="20000"/>
    <n v="1"/>
    <n v="20000"/>
    <n v="27718"/>
    <x v="7"/>
    <n v="2024"/>
    <n v="0.72155278158597302"/>
  </r>
  <r>
    <d v="2024-08-03T00:00:00"/>
    <x v="3"/>
    <x v="2"/>
    <x v="0"/>
    <s v="Electronics"/>
    <n v="50000"/>
    <n v="1"/>
    <n v="50000"/>
    <n v="56418"/>
    <x v="7"/>
    <n v="2024"/>
    <n v="0.88624197951008543"/>
  </r>
  <r>
    <d v="2024-08-04T00:00:00"/>
    <x v="1"/>
    <x v="4"/>
    <x v="1"/>
    <s v="Office"/>
    <n v="15000"/>
    <n v="3"/>
    <n v="45000"/>
    <n v="33889"/>
    <x v="7"/>
    <n v="2024"/>
    <n v="1.327864498804922"/>
  </r>
  <r>
    <d v="2024-08-05T00:00:00"/>
    <x v="1"/>
    <x v="1"/>
    <x v="1"/>
    <s v="Office"/>
    <n v="15000"/>
    <n v="9"/>
    <n v="135000"/>
    <n v="119409"/>
    <x v="7"/>
    <n v="2024"/>
    <n v="1.1305680476346005"/>
  </r>
  <r>
    <d v="2024-08-06T00:00:00"/>
    <x v="3"/>
    <x v="4"/>
    <x v="0"/>
    <s v="Electronics"/>
    <n v="50000"/>
    <n v="3"/>
    <n v="150000"/>
    <n v="138142"/>
    <x v="7"/>
    <n v="2024"/>
    <n v="1.0858392089299416"/>
  </r>
  <r>
    <d v="2024-08-07T00:00:00"/>
    <x v="0"/>
    <x v="2"/>
    <x v="1"/>
    <s v="Office"/>
    <n v="15000"/>
    <n v="6"/>
    <n v="90000"/>
    <n v="92572"/>
    <x v="7"/>
    <n v="2024"/>
    <n v="0.97221622088752535"/>
  </r>
  <r>
    <d v="2024-08-08T00:00:00"/>
    <x v="2"/>
    <x v="0"/>
    <x v="2"/>
    <s v="Electronics"/>
    <n v="20000"/>
    <n v="3"/>
    <n v="60000"/>
    <n v="69212"/>
    <x v="7"/>
    <n v="2024"/>
    <n v="0.86690169334797429"/>
  </r>
  <r>
    <d v="2024-08-09T00:00:00"/>
    <x v="1"/>
    <x v="1"/>
    <x v="2"/>
    <s v="Electronics"/>
    <n v="20000"/>
    <n v="8"/>
    <n v="160000"/>
    <n v="147209"/>
    <x v="7"/>
    <n v="2024"/>
    <n v="1.0868900678626987"/>
  </r>
  <r>
    <d v="2024-08-10T00:00:00"/>
    <x v="3"/>
    <x v="4"/>
    <x v="3"/>
    <s v="Electronics"/>
    <n v="30000"/>
    <n v="2"/>
    <n v="60000"/>
    <n v="71398"/>
    <x v="7"/>
    <n v="2024"/>
    <n v="0.84035967394044653"/>
  </r>
  <r>
    <d v="2024-08-11T00:00:00"/>
    <x v="1"/>
    <x v="3"/>
    <x v="3"/>
    <s v="Electronics"/>
    <n v="30000"/>
    <n v="3"/>
    <n v="90000"/>
    <n v="109590"/>
    <x v="7"/>
    <n v="2024"/>
    <n v="0.82124281412537636"/>
  </r>
  <r>
    <d v="2024-08-12T00:00:00"/>
    <x v="3"/>
    <x v="2"/>
    <x v="2"/>
    <s v="Electronics"/>
    <n v="20000"/>
    <n v="1"/>
    <n v="20000"/>
    <n v="25983"/>
    <x v="7"/>
    <n v="2024"/>
    <n v="0.76973405688334684"/>
  </r>
  <r>
    <d v="2024-08-13T00:00:00"/>
    <x v="0"/>
    <x v="1"/>
    <x v="2"/>
    <s v="Electronics"/>
    <n v="20000"/>
    <n v="8"/>
    <n v="160000"/>
    <n v="143995"/>
    <x v="7"/>
    <n v="2024"/>
    <n v="1.1111496926976632"/>
  </r>
  <r>
    <d v="2024-08-14T00:00:00"/>
    <x v="0"/>
    <x v="2"/>
    <x v="1"/>
    <s v="Office"/>
    <n v="15000"/>
    <n v="5"/>
    <n v="75000"/>
    <n v="64489"/>
    <x v="7"/>
    <n v="2024"/>
    <n v="1.1629890368900122"/>
  </r>
  <r>
    <d v="2024-08-15T00:00:00"/>
    <x v="0"/>
    <x v="2"/>
    <x v="3"/>
    <s v="Electronics"/>
    <n v="30000"/>
    <n v="3"/>
    <n v="90000"/>
    <n v="77484"/>
    <x v="7"/>
    <n v="2024"/>
    <n v="1.1615301223478396"/>
  </r>
  <r>
    <d v="2024-08-16T00:00:00"/>
    <x v="3"/>
    <x v="0"/>
    <x v="0"/>
    <s v="Electronics"/>
    <n v="50000"/>
    <n v="8"/>
    <n v="400000"/>
    <n v="394272"/>
    <x v="7"/>
    <n v="2024"/>
    <n v="1.0145280415550686"/>
  </r>
  <r>
    <d v="2024-08-17T00:00:00"/>
    <x v="1"/>
    <x v="3"/>
    <x v="0"/>
    <s v="Electronics"/>
    <n v="50000"/>
    <n v="4"/>
    <n v="200000"/>
    <n v="215349"/>
    <x v="7"/>
    <n v="2024"/>
    <n v="0.92872499988390933"/>
  </r>
  <r>
    <d v="2024-08-18T00:00:00"/>
    <x v="2"/>
    <x v="2"/>
    <x v="1"/>
    <s v="Office"/>
    <n v="15000"/>
    <n v="1"/>
    <n v="15000"/>
    <n v="17794"/>
    <x v="7"/>
    <n v="2024"/>
    <n v="0.84298078003821508"/>
  </r>
  <r>
    <d v="2024-08-19T00:00:00"/>
    <x v="1"/>
    <x v="4"/>
    <x v="1"/>
    <s v="Office"/>
    <n v="15000"/>
    <n v="4"/>
    <n v="60000"/>
    <n v="77328"/>
    <x v="7"/>
    <n v="2024"/>
    <n v="0.77591558038485409"/>
  </r>
  <r>
    <d v="2024-08-20T00:00:00"/>
    <x v="1"/>
    <x v="2"/>
    <x v="2"/>
    <s v="Electronics"/>
    <n v="20000"/>
    <n v="5"/>
    <n v="100000"/>
    <n v="98039"/>
    <x v="7"/>
    <n v="2024"/>
    <n v="1.0200022440049368"/>
  </r>
  <r>
    <d v="2024-08-21T00:00:00"/>
    <x v="3"/>
    <x v="1"/>
    <x v="1"/>
    <s v="Office"/>
    <n v="15000"/>
    <n v="7"/>
    <n v="105000"/>
    <n v="86631"/>
    <x v="7"/>
    <n v="2024"/>
    <n v="1.2120372614883819"/>
  </r>
  <r>
    <d v="2024-08-22T00:00:00"/>
    <x v="0"/>
    <x v="0"/>
    <x v="2"/>
    <s v="Electronics"/>
    <n v="20000"/>
    <n v="3"/>
    <n v="60000"/>
    <n v="48378"/>
    <x v="7"/>
    <n v="2024"/>
    <n v="1.240233163834801"/>
  </r>
  <r>
    <d v="2024-08-23T00:00:00"/>
    <x v="0"/>
    <x v="4"/>
    <x v="0"/>
    <s v="Electronics"/>
    <n v="50000"/>
    <n v="1"/>
    <n v="50000"/>
    <n v="58616"/>
    <x v="7"/>
    <n v="2024"/>
    <n v="0.85300941722396617"/>
  </r>
  <r>
    <d v="2024-08-24T00:00:00"/>
    <x v="0"/>
    <x v="1"/>
    <x v="1"/>
    <s v="Office"/>
    <n v="15000"/>
    <n v="1"/>
    <n v="15000"/>
    <n v="16227"/>
    <x v="7"/>
    <n v="2024"/>
    <n v="0.92438528378628215"/>
  </r>
  <r>
    <d v="2024-08-25T00:00:00"/>
    <x v="2"/>
    <x v="3"/>
    <x v="0"/>
    <s v="Electronics"/>
    <n v="50000"/>
    <n v="5"/>
    <n v="250000"/>
    <n v="261949"/>
    <x v="7"/>
    <n v="2024"/>
    <n v="0.95438425036934671"/>
  </r>
  <r>
    <d v="2024-08-26T00:00:00"/>
    <x v="3"/>
    <x v="0"/>
    <x v="0"/>
    <s v="Electronics"/>
    <n v="50000"/>
    <n v="8"/>
    <n v="400000"/>
    <n v="384080"/>
    <x v="7"/>
    <n v="2024"/>
    <n v="1.0414496979795875"/>
  </r>
  <r>
    <d v="2024-08-27T00:00:00"/>
    <x v="2"/>
    <x v="2"/>
    <x v="0"/>
    <s v="Electronics"/>
    <n v="50000"/>
    <n v="1"/>
    <n v="50000"/>
    <n v="40706"/>
    <x v="7"/>
    <n v="2024"/>
    <n v="1.2283201493637301"/>
  </r>
  <r>
    <d v="2024-08-28T00:00:00"/>
    <x v="2"/>
    <x v="3"/>
    <x v="0"/>
    <s v="Electronics"/>
    <n v="50000"/>
    <n v="1"/>
    <n v="50000"/>
    <n v="49641"/>
    <x v="7"/>
    <n v="2024"/>
    <n v="1.0072319252231019"/>
  </r>
  <r>
    <d v="2024-08-29T00:00:00"/>
    <x v="3"/>
    <x v="2"/>
    <x v="2"/>
    <s v="Electronics"/>
    <n v="20000"/>
    <n v="1"/>
    <n v="20000"/>
    <n v="28358"/>
    <x v="7"/>
    <n v="2024"/>
    <n v="0.70526835460892867"/>
  </r>
  <r>
    <d v="2024-08-30T00:00:00"/>
    <x v="3"/>
    <x v="3"/>
    <x v="0"/>
    <s v="Electronics"/>
    <n v="50000"/>
    <n v="4"/>
    <n v="200000"/>
    <n v="209030"/>
    <x v="7"/>
    <n v="2024"/>
    <n v="0.95680045926422042"/>
  </r>
  <r>
    <d v="2024-08-31T00:00:00"/>
    <x v="1"/>
    <x v="2"/>
    <x v="1"/>
    <s v="Office"/>
    <n v="15000"/>
    <n v="7"/>
    <n v="105000"/>
    <n v="101419"/>
    <x v="7"/>
    <n v="2024"/>
    <n v="1.0353089657756436"/>
  </r>
  <r>
    <d v="2024-09-01T00:00:00"/>
    <x v="0"/>
    <x v="2"/>
    <x v="0"/>
    <s v="Electronics"/>
    <n v="50000"/>
    <n v="9"/>
    <n v="450000"/>
    <n v="437505"/>
    <x v="8"/>
    <n v="2024"/>
    <n v="1.0285596736037304"/>
  </r>
  <r>
    <d v="2024-09-02T00:00:00"/>
    <x v="1"/>
    <x v="2"/>
    <x v="1"/>
    <s v="Office"/>
    <n v="15000"/>
    <n v="2"/>
    <n v="30000"/>
    <n v="30915"/>
    <x v="8"/>
    <n v="2024"/>
    <n v="0.97040271712760795"/>
  </r>
  <r>
    <d v="2024-09-03T00:00:00"/>
    <x v="0"/>
    <x v="3"/>
    <x v="0"/>
    <s v="Electronics"/>
    <n v="50000"/>
    <n v="9"/>
    <n v="450000"/>
    <n v="436421"/>
    <x v="8"/>
    <n v="2024"/>
    <n v="1.0311144514127413"/>
  </r>
  <r>
    <d v="2024-09-04T00:00:00"/>
    <x v="2"/>
    <x v="3"/>
    <x v="3"/>
    <s v="Electronics"/>
    <n v="30000"/>
    <n v="2"/>
    <n v="60000"/>
    <n v="67549"/>
    <x v="8"/>
    <n v="2024"/>
    <n v="0.88824408947578792"/>
  </r>
  <r>
    <d v="2024-09-05T00:00:00"/>
    <x v="3"/>
    <x v="3"/>
    <x v="0"/>
    <s v="Electronics"/>
    <n v="50000"/>
    <n v="3"/>
    <n v="150000"/>
    <n v="136592"/>
    <x v="8"/>
    <n v="2024"/>
    <n v="1.0981609464683144"/>
  </r>
  <r>
    <d v="2024-09-06T00:00:00"/>
    <x v="1"/>
    <x v="2"/>
    <x v="1"/>
    <s v="Office"/>
    <n v="15000"/>
    <n v="2"/>
    <n v="30000"/>
    <n v="14354"/>
    <x v="8"/>
    <n v="2024"/>
    <n v="2.0900097533788493"/>
  </r>
  <r>
    <d v="2024-09-07T00:00:00"/>
    <x v="2"/>
    <x v="0"/>
    <x v="0"/>
    <s v="Electronics"/>
    <n v="50000"/>
    <n v="8"/>
    <n v="400000"/>
    <n v="412213"/>
    <x v="8"/>
    <n v="2024"/>
    <n v="0.97037211344620378"/>
  </r>
  <r>
    <d v="2024-09-08T00:00:00"/>
    <x v="3"/>
    <x v="0"/>
    <x v="3"/>
    <s v="Electronics"/>
    <n v="30000"/>
    <n v="4"/>
    <n v="120000"/>
    <n v="103313"/>
    <x v="8"/>
    <n v="2024"/>
    <n v="1.1615188795214542"/>
  </r>
  <r>
    <d v="2024-09-09T00:00:00"/>
    <x v="3"/>
    <x v="3"/>
    <x v="0"/>
    <s v="Electronics"/>
    <n v="50000"/>
    <n v="1"/>
    <n v="50000"/>
    <n v="39726"/>
    <x v="8"/>
    <n v="2024"/>
    <n v="1.2586215576700397"/>
  </r>
  <r>
    <d v="2024-09-10T00:00:00"/>
    <x v="2"/>
    <x v="4"/>
    <x v="3"/>
    <s v="Electronics"/>
    <n v="30000"/>
    <n v="2"/>
    <n v="60000"/>
    <n v="79471"/>
    <x v="8"/>
    <n v="2024"/>
    <n v="0.75499238716009609"/>
  </r>
  <r>
    <d v="2024-09-11T00:00:00"/>
    <x v="0"/>
    <x v="3"/>
    <x v="1"/>
    <s v="Office"/>
    <n v="15000"/>
    <n v="6"/>
    <n v="90000"/>
    <n v="91129"/>
    <x v="8"/>
    <n v="2024"/>
    <n v="0.98761096906582979"/>
  </r>
  <r>
    <d v="2024-09-12T00:00:00"/>
    <x v="1"/>
    <x v="3"/>
    <x v="2"/>
    <s v="Electronics"/>
    <n v="20000"/>
    <n v="6"/>
    <n v="120000"/>
    <n v="135772"/>
    <x v="8"/>
    <n v="2024"/>
    <n v="0.88383466399552191"/>
  </r>
  <r>
    <d v="2024-09-13T00:00:00"/>
    <x v="3"/>
    <x v="4"/>
    <x v="3"/>
    <s v="Electronics"/>
    <n v="30000"/>
    <n v="2"/>
    <n v="60000"/>
    <n v="76115"/>
    <x v="8"/>
    <n v="2024"/>
    <n v="0.78828089075740659"/>
  </r>
  <r>
    <d v="2024-09-14T00:00:00"/>
    <x v="0"/>
    <x v="0"/>
    <x v="1"/>
    <s v="Office"/>
    <n v="15000"/>
    <n v="9"/>
    <n v="135000"/>
    <n v="121932"/>
    <x v="8"/>
    <n v="2024"/>
    <n v="1.1071744906997343"/>
  </r>
  <r>
    <d v="2024-09-15T00:00:00"/>
    <x v="2"/>
    <x v="3"/>
    <x v="0"/>
    <s v="Electronics"/>
    <n v="50000"/>
    <n v="7"/>
    <n v="350000"/>
    <n v="353498"/>
    <x v="8"/>
    <n v="2024"/>
    <n v="0.99010461162439389"/>
  </r>
  <r>
    <d v="2024-09-16T00:00:00"/>
    <x v="1"/>
    <x v="2"/>
    <x v="0"/>
    <s v="Electronics"/>
    <n v="50000"/>
    <n v="5"/>
    <n v="250000"/>
    <n v="264227"/>
    <x v="8"/>
    <n v="2024"/>
    <n v="0.94615614604109344"/>
  </r>
  <r>
    <d v="2024-09-17T00:00:00"/>
    <x v="3"/>
    <x v="3"/>
    <x v="3"/>
    <s v="Electronics"/>
    <n v="30000"/>
    <n v="8"/>
    <n v="240000"/>
    <n v="227128"/>
    <x v="8"/>
    <n v="2024"/>
    <n v="1.0566728892959036"/>
  </r>
  <r>
    <d v="2024-09-18T00:00:00"/>
    <x v="0"/>
    <x v="3"/>
    <x v="1"/>
    <s v="Office"/>
    <n v="15000"/>
    <n v="8"/>
    <n v="120000"/>
    <n v="106117"/>
    <x v="8"/>
    <n v="2024"/>
    <n v="1.1308272944014626"/>
  </r>
  <r>
    <d v="2024-09-19T00:00:00"/>
    <x v="3"/>
    <x v="4"/>
    <x v="1"/>
    <s v="Office"/>
    <n v="15000"/>
    <n v="9"/>
    <n v="135000"/>
    <n v="127448"/>
    <x v="8"/>
    <n v="2024"/>
    <n v="1.0592555395141547"/>
  </r>
  <r>
    <d v="2024-09-20T00:00:00"/>
    <x v="3"/>
    <x v="4"/>
    <x v="0"/>
    <s v="Electronics"/>
    <n v="50000"/>
    <n v="5"/>
    <n v="250000"/>
    <n v="244314"/>
    <x v="8"/>
    <n v="2024"/>
    <n v="1.023273328585345"/>
  </r>
  <r>
    <d v="2024-09-21T00:00:00"/>
    <x v="1"/>
    <x v="4"/>
    <x v="3"/>
    <s v="Electronics"/>
    <n v="30000"/>
    <n v="9"/>
    <n v="270000"/>
    <n v="257392"/>
    <x v="8"/>
    <n v="2024"/>
    <n v="1.0489836513955368"/>
  </r>
  <r>
    <d v="2024-09-22T00:00:00"/>
    <x v="0"/>
    <x v="3"/>
    <x v="1"/>
    <s v="Office"/>
    <n v="15000"/>
    <n v="4"/>
    <n v="60000"/>
    <n v="45239"/>
    <x v="8"/>
    <n v="2024"/>
    <n v="1.3262892636884105"/>
  </r>
  <r>
    <d v="2024-09-23T00:00:00"/>
    <x v="0"/>
    <x v="2"/>
    <x v="1"/>
    <s v="Office"/>
    <n v="15000"/>
    <n v="3"/>
    <n v="45000"/>
    <n v="38649"/>
    <x v="8"/>
    <n v="2024"/>
    <n v="1.1643250795622138"/>
  </r>
  <r>
    <d v="2024-09-24T00:00:00"/>
    <x v="2"/>
    <x v="0"/>
    <x v="2"/>
    <s v="Electronics"/>
    <n v="20000"/>
    <n v="1"/>
    <n v="20000"/>
    <n v="21893"/>
    <x v="8"/>
    <n v="2024"/>
    <n v="0.91353400630338466"/>
  </r>
  <r>
    <d v="2024-09-25T00:00:00"/>
    <x v="2"/>
    <x v="4"/>
    <x v="2"/>
    <s v="Electronics"/>
    <n v="20000"/>
    <n v="3"/>
    <n v="60000"/>
    <n v="67892"/>
    <x v="8"/>
    <n v="2024"/>
    <n v="0.88375655452777946"/>
  </r>
  <r>
    <d v="2024-09-26T00:00:00"/>
    <x v="1"/>
    <x v="0"/>
    <x v="2"/>
    <s v="Electronics"/>
    <n v="20000"/>
    <n v="9"/>
    <n v="180000"/>
    <n v="165884"/>
    <x v="8"/>
    <n v="2024"/>
    <n v="1.085095608979769"/>
  </r>
  <r>
    <d v="2024-09-27T00:00:00"/>
    <x v="2"/>
    <x v="0"/>
    <x v="3"/>
    <s v="Electronics"/>
    <n v="30000"/>
    <n v="4"/>
    <n v="120000"/>
    <n v="121603"/>
    <x v="8"/>
    <n v="2024"/>
    <n v="0.98681775943027716"/>
  </r>
  <r>
    <d v="2024-09-28T00:00:00"/>
    <x v="2"/>
    <x v="0"/>
    <x v="1"/>
    <s v="Office"/>
    <n v="15000"/>
    <n v="8"/>
    <n v="120000"/>
    <n v="127137"/>
    <x v="8"/>
    <n v="2024"/>
    <n v="0.94386370608084191"/>
  </r>
  <r>
    <d v="2024-09-29T00:00:00"/>
    <x v="3"/>
    <x v="2"/>
    <x v="0"/>
    <s v="Electronics"/>
    <n v="50000"/>
    <n v="3"/>
    <n v="150000"/>
    <n v="131435"/>
    <x v="8"/>
    <n v="2024"/>
    <n v="1.1412485258873206"/>
  </r>
  <r>
    <d v="2024-09-30T00:00:00"/>
    <x v="3"/>
    <x v="1"/>
    <x v="1"/>
    <s v="Office"/>
    <n v="15000"/>
    <n v="3"/>
    <n v="45000"/>
    <n v="42709"/>
    <x v="8"/>
    <n v="2024"/>
    <n v="1.0536420894893348"/>
  </r>
  <r>
    <d v="2024-10-01T00:00:00"/>
    <x v="3"/>
    <x v="4"/>
    <x v="0"/>
    <s v="Electronics"/>
    <n v="50000"/>
    <n v="4"/>
    <n v="200000"/>
    <n v="186720"/>
    <x v="9"/>
    <n v="2024"/>
    <n v="1.0711225364181662"/>
  </r>
  <r>
    <d v="2024-10-02T00:00:00"/>
    <x v="2"/>
    <x v="1"/>
    <x v="0"/>
    <s v="Electronics"/>
    <n v="50000"/>
    <n v="3"/>
    <n v="150000"/>
    <n v="159547"/>
    <x v="9"/>
    <n v="2024"/>
    <n v="0.94016183319021984"/>
  </r>
  <r>
    <d v="2024-10-03T00:00:00"/>
    <x v="0"/>
    <x v="4"/>
    <x v="3"/>
    <s v="Electronics"/>
    <n v="30000"/>
    <n v="8"/>
    <n v="240000"/>
    <n v="255019"/>
    <x v="9"/>
    <n v="2024"/>
    <n v="0.94110634893870648"/>
  </r>
  <r>
    <d v="2024-10-04T00:00:00"/>
    <x v="1"/>
    <x v="3"/>
    <x v="3"/>
    <s v="Electronics"/>
    <n v="30000"/>
    <n v="2"/>
    <n v="60000"/>
    <n v="42512"/>
    <x v="9"/>
    <n v="2024"/>
    <n v="1.4113662024840046"/>
  </r>
  <r>
    <d v="2024-10-05T00:00:00"/>
    <x v="0"/>
    <x v="0"/>
    <x v="3"/>
    <s v="Electronics"/>
    <n v="30000"/>
    <n v="6"/>
    <n v="180000"/>
    <n v="189807"/>
    <x v="9"/>
    <n v="2024"/>
    <n v="0.94833172643790797"/>
  </r>
  <r>
    <d v="2024-10-06T00:00:00"/>
    <x v="0"/>
    <x v="4"/>
    <x v="3"/>
    <s v="Electronics"/>
    <n v="30000"/>
    <n v="3"/>
    <n v="90000"/>
    <n v="90855"/>
    <x v="9"/>
    <n v="2024"/>
    <n v="0.99058940069341261"/>
  </r>
  <r>
    <d v="2024-10-07T00:00:00"/>
    <x v="3"/>
    <x v="0"/>
    <x v="2"/>
    <s v="Electronics"/>
    <n v="20000"/>
    <n v="4"/>
    <n v="80000"/>
    <n v="79169"/>
    <x v="9"/>
    <n v="2024"/>
    <n v="1.010496532733772"/>
  </r>
  <r>
    <d v="2024-10-08T00:00:00"/>
    <x v="1"/>
    <x v="2"/>
    <x v="0"/>
    <s v="Electronics"/>
    <n v="50000"/>
    <n v="9"/>
    <n v="450000"/>
    <n v="437640"/>
    <x v="9"/>
    <n v="2024"/>
    <n v="1.0282423910063065"/>
  </r>
  <r>
    <d v="2024-10-09T00:00:00"/>
    <x v="3"/>
    <x v="0"/>
    <x v="3"/>
    <s v="Electronics"/>
    <n v="30000"/>
    <n v="4"/>
    <n v="120000"/>
    <n v="102093"/>
    <x v="9"/>
    <n v="2024"/>
    <n v="1.1753989010020276"/>
  </r>
  <r>
    <d v="2024-10-10T00:00:00"/>
    <x v="0"/>
    <x v="1"/>
    <x v="3"/>
    <s v="Electronics"/>
    <n v="30000"/>
    <n v="6"/>
    <n v="180000"/>
    <n v="186794"/>
    <x v="9"/>
    <n v="2024"/>
    <n v="0.96362838206794654"/>
  </r>
  <r>
    <d v="2024-10-11T00:00:00"/>
    <x v="1"/>
    <x v="0"/>
    <x v="1"/>
    <s v="Office"/>
    <n v="15000"/>
    <n v="2"/>
    <n v="30000"/>
    <n v="15785"/>
    <x v="9"/>
    <n v="2024"/>
    <n v="1.9005384859043395"/>
  </r>
  <r>
    <d v="2024-10-12T00:00:00"/>
    <x v="1"/>
    <x v="4"/>
    <x v="2"/>
    <s v="Electronics"/>
    <n v="20000"/>
    <n v="7"/>
    <n v="140000"/>
    <n v="132316"/>
    <x v="9"/>
    <n v="2024"/>
    <n v="1.0580730977357236"/>
  </r>
  <r>
    <d v="2024-10-13T00:00:00"/>
    <x v="1"/>
    <x v="3"/>
    <x v="0"/>
    <s v="Electronics"/>
    <n v="50000"/>
    <n v="5"/>
    <n v="250000"/>
    <n v="250978"/>
    <x v="9"/>
    <n v="2024"/>
    <n v="0.99610324410904538"/>
  </r>
  <r>
    <d v="2024-10-14T00:00:00"/>
    <x v="3"/>
    <x v="1"/>
    <x v="1"/>
    <s v="Office"/>
    <n v="15000"/>
    <n v="4"/>
    <n v="60000"/>
    <n v="53744"/>
    <x v="9"/>
    <n v="2024"/>
    <n v="1.1164036915748734"/>
  </r>
  <r>
    <d v="2024-10-15T00:00:00"/>
    <x v="2"/>
    <x v="0"/>
    <x v="2"/>
    <s v="Electronics"/>
    <n v="20000"/>
    <n v="9"/>
    <n v="180000"/>
    <n v="192647"/>
    <x v="9"/>
    <n v="2024"/>
    <n v="0.93435143033631463"/>
  </r>
  <r>
    <d v="2024-10-16T00:00:00"/>
    <x v="2"/>
    <x v="2"/>
    <x v="0"/>
    <s v="Electronics"/>
    <n v="50000"/>
    <n v="1"/>
    <n v="50000"/>
    <n v="32978"/>
    <x v="9"/>
    <n v="2024"/>
    <n v="1.5161622900115228"/>
  </r>
  <r>
    <d v="2024-10-17T00:00:00"/>
    <x v="3"/>
    <x v="2"/>
    <x v="2"/>
    <s v="Electronics"/>
    <n v="20000"/>
    <n v="6"/>
    <n v="120000"/>
    <n v="127396"/>
    <x v="9"/>
    <n v="2024"/>
    <n v="0.94194480203460074"/>
  </r>
  <r>
    <d v="2024-10-18T00:00:00"/>
    <x v="1"/>
    <x v="1"/>
    <x v="3"/>
    <s v="Electronics"/>
    <n v="30000"/>
    <n v="5"/>
    <n v="150000"/>
    <n v="165205"/>
    <x v="9"/>
    <n v="2024"/>
    <n v="0.90796283405465938"/>
  </r>
  <r>
    <d v="2024-10-19T00:00:00"/>
    <x v="3"/>
    <x v="0"/>
    <x v="2"/>
    <s v="Electronics"/>
    <n v="20000"/>
    <n v="5"/>
    <n v="100000"/>
    <n v="82360"/>
    <x v="9"/>
    <n v="2024"/>
    <n v="1.2141816415735793"/>
  </r>
  <r>
    <d v="2024-10-20T00:00:00"/>
    <x v="0"/>
    <x v="0"/>
    <x v="2"/>
    <s v="Electronics"/>
    <n v="20000"/>
    <n v="9"/>
    <n v="180000"/>
    <n v="177124"/>
    <x v="9"/>
    <n v="2024"/>
    <n v="1.0162372123484114"/>
  </r>
  <r>
    <d v="2024-10-21T00:00:00"/>
    <x v="3"/>
    <x v="1"/>
    <x v="0"/>
    <s v="Electronics"/>
    <n v="50000"/>
    <n v="1"/>
    <n v="50000"/>
    <n v="30739"/>
    <x v="9"/>
    <n v="2024"/>
    <n v="1.6265981326653438"/>
  </r>
  <r>
    <d v="2024-10-22T00:00:00"/>
    <x v="1"/>
    <x v="4"/>
    <x v="0"/>
    <s v="Electronics"/>
    <n v="50000"/>
    <n v="2"/>
    <n v="100000"/>
    <n v="96562"/>
    <x v="9"/>
    <n v="2024"/>
    <n v="1.0356040678527785"/>
  </r>
  <r>
    <d v="2024-10-23T00:00:00"/>
    <x v="1"/>
    <x v="0"/>
    <x v="0"/>
    <s v="Electronics"/>
    <n v="50000"/>
    <n v="6"/>
    <n v="300000"/>
    <n v="307256"/>
    <x v="9"/>
    <n v="2024"/>
    <n v="0.97638451323977404"/>
  </r>
  <r>
    <d v="2024-10-24T00:00:00"/>
    <x v="3"/>
    <x v="3"/>
    <x v="1"/>
    <s v="Office"/>
    <n v="15000"/>
    <n v="4"/>
    <n v="60000"/>
    <n v="49557"/>
    <x v="9"/>
    <n v="2024"/>
    <n v="1.2107270415884739"/>
  </r>
  <r>
    <d v="2024-10-25T00:00:00"/>
    <x v="1"/>
    <x v="0"/>
    <x v="2"/>
    <s v="Electronics"/>
    <n v="20000"/>
    <n v="6"/>
    <n v="120000"/>
    <n v="114998"/>
    <x v="9"/>
    <n v="2024"/>
    <n v="1.0434964086331937"/>
  </r>
  <r>
    <d v="2024-10-26T00:00:00"/>
    <x v="2"/>
    <x v="3"/>
    <x v="3"/>
    <s v="Electronics"/>
    <n v="30000"/>
    <n v="9"/>
    <n v="270000"/>
    <n v="265469"/>
    <x v="9"/>
    <n v="2024"/>
    <n v="1.01706790623387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416E20-D84F-41CB-B43E-DD8E100169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19:B30" firstHeaderRow="1" firstDataRow="1" firstDataCol="1"/>
  <pivotFields count="12">
    <pivotField numFmtId="15" showAll="0"/>
    <pivotField showAll="0">
      <items count="5">
        <item x="1"/>
        <item x="3"/>
        <item x="2"/>
        <item x="0"/>
        <item t="default"/>
      </items>
    </pivotField>
    <pivotField showAll="0">
      <items count="6">
        <item x="1"/>
        <item x="2"/>
        <item x="3"/>
        <item x="0"/>
        <item x="4"/>
        <item t="default"/>
      </items>
    </pivotField>
    <pivotField showAll="0">
      <items count="5">
        <item x="0"/>
        <item x="2"/>
        <item x="1"/>
        <item x="3"/>
        <item t="default"/>
      </items>
    </pivotField>
    <pivotField showAll="0"/>
    <pivotField showAll="0"/>
    <pivotField showAll="0"/>
    <pivotField dataField="1" showAll="0"/>
    <pivotField showAll="0"/>
    <pivotField axis="axisRow" showAll="0">
      <items count="11">
        <item x="0"/>
        <item x="1"/>
        <item x="2"/>
        <item x="3"/>
        <item x="4"/>
        <item x="5"/>
        <item x="6"/>
        <item x="7"/>
        <item x="8"/>
        <item x="9"/>
        <item t="default"/>
      </items>
    </pivotField>
    <pivotField showAll="0"/>
    <pivotField numFmtId="9" showAll="0"/>
  </pivotFields>
  <rowFields count="1">
    <field x="9"/>
  </rowFields>
  <rowItems count="11">
    <i>
      <x/>
    </i>
    <i>
      <x v="1"/>
    </i>
    <i>
      <x v="2"/>
    </i>
    <i>
      <x v="3"/>
    </i>
    <i>
      <x v="4"/>
    </i>
    <i>
      <x v="5"/>
    </i>
    <i>
      <x v="6"/>
    </i>
    <i>
      <x v="7"/>
    </i>
    <i>
      <x v="8"/>
    </i>
    <i>
      <x v="9"/>
    </i>
    <i t="grand">
      <x/>
    </i>
  </rowItems>
  <colItems count="1">
    <i/>
  </colItems>
  <dataFields count="1">
    <dataField name="Sum of Revenue" fld="7" baseField="0" baseItem="0"/>
  </dataFields>
  <formats count="6">
    <format dxfId="24">
      <pivotArea type="all" dataOnly="0" outline="0" fieldPosition="0"/>
    </format>
    <format dxfId="25">
      <pivotArea outline="0" collapsedLevelsAreSubtotals="1" fieldPosition="0"/>
    </format>
    <format dxfId="26">
      <pivotArea field="9" type="button" dataOnly="0" labelOnly="1" outline="0" axis="axisRow" fieldPosition="0"/>
    </format>
    <format dxfId="27">
      <pivotArea dataOnly="0" labelOnly="1" fieldPosition="0">
        <references count="1">
          <reference field="9" count="0"/>
        </references>
      </pivotArea>
    </format>
    <format dxfId="28">
      <pivotArea dataOnly="0" labelOnly="1" grandRow="1" outline="0" fieldPosition="0"/>
    </format>
    <format dxfId="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65327-A810-4E28-AB6A-24CFE415E5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11:B16" firstHeaderRow="1" firstDataRow="1" firstDataCol="1"/>
  <pivotFields count="12">
    <pivotField numFmtId="15" showAll="0"/>
    <pivotField showAll="0">
      <items count="5">
        <item x="1"/>
        <item x="3"/>
        <item x="2"/>
        <item x="0"/>
        <item t="default"/>
      </items>
    </pivotField>
    <pivotField showAll="0">
      <items count="6">
        <item x="1"/>
        <item x="2"/>
        <item x="3"/>
        <item x="0"/>
        <item x="4"/>
        <item t="default"/>
      </items>
    </pivotField>
    <pivotField axis="axisRow" showAll="0">
      <items count="5">
        <item x="0"/>
        <item x="2"/>
        <item x="1"/>
        <item x="3"/>
        <item t="default"/>
      </items>
    </pivotField>
    <pivotField showAll="0"/>
    <pivotField showAll="0"/>
    <pivotField showAll="0"/>
    <pivotField dataField="1" showAll="0"/>
    <pivotField showAll="0"/>
    <pivotField showAll="0">
      <items count="11">
        <item x="0"/>
        <item x="1"/>
        <item x="2"/>
        <item x="3"/>
        <item x="4"/>
        <item x="5"/>
        <item x="6"/>
        <item x="7"/>
        <item x="8"/>
        <item x="9"/>
        <item t="default"/>
      </items>
    </pivotField>
    <pivotField showAll="0"/>
    <pivotField numFmtId="9" showAll="0"/>
  </pivotFields>
  <rowFields count="1">
    <field x="3"/>
  </rowFields>
  <rowItems count="5">
    <i>
      <x/>
    </i>
    <i>
      <x v="1"/>
    </i>
    <i>
      <x v="2"/>
    </i>
    <i>
      <x v="3"/>
    </i>
    <i t="grand">
      <x/>
    </i>
  </rowItems>
  <colItems count="1">
    <i/>
  </colItems>
  <dataFields count="1">
    <dataField name="Sum of Revenue" fld="7" baseField="0" baseItem="0"/>
  </dataFields>
  <formats count="6">
    <format dxfId="18">
      <pivotArea type="all" dataOnly="0" outline="0" fieldPosition="0"/>
    </format>
    <format dxfId="19">
      <pivotArea outline="0" collapsedLevelsAreSubtotals="1" fieldPosition="0"/>
    </format>
    <format dxfId="20">
      <pivotArea field="3" type="button" dataOnly="0" labelOnly="1" outline="0" axis="axisRow" fieldPosition="0"/>
    </format>
    <format dxfId="21">
      <pivotArea dataOnly="0" labelOnly="1" fieldPosition="0">
        <references count="1">
          <reference field="3" count="0"/>
        </references>
      </pivotArea>
    </format>
    <format dxfId="22">
      <pivotArea dataOnly="0" labelOnly="1" grandRow="1" outline="0" fieldPosition="0"/>
    </format>
    <format dxfId="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85F41-D5F2-4D18-9FAC-1CB91D7D6B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12">
    <pivotField numFmtId="15" showAll="0"/>
    <pivotField axis="axisRow" showAll="0">
      <items count="5">
        <item x="1"/>
        <item x="3"/>
        <item x="2"/>
        <item x="0"/>
        <item t="default"/>
      </items>
    </pivotField>
    <pivotField showAll="0">
      <items count="6">
        <item x="1"/>
        <item x="2"/>
        <item x="3"/>
        <item x="0"/>
        <item x="4"/>
        <item t="default"/>
      </items>
    </pivotField>
    <pivotField showAll="0">
      <items count="5">
        <item x="0"/>
        <item x="2"/>
        <item x="1"/>
        <item x="3"/>
        <item t="default"/>
      </items>
    </pivotField>
    <pivotField showAll="0"/>
    <pivotField showAll="0"/>
    <pivotField showAll="0"/>
    <pivotField dataField="1" showAll="0"/>
    <pivotField showAll="0"/>
    <pivotField showAll="0">
      <items count="11">
        <item x="0"/>
        <item x="1"/>
        <item x="2"/>
        <item x="3"/>
        <item x="4"/>
        <item x="5"/>
        <item x="6"/>
        <item x="7"/>
        <item x="8"/>
        <item x="9"/>
        <item t="default"/>
      </items>
    </pivotField>
    <pivotField showAll="0"/>
    <pivotField numFmtId="9" showAll="0"/>
  </pivotFields>
  <rowFields count="1">
    <field x="1"/>
  </rowFields>
  <rowItems count="5">
    <i>
      <x/>
    </i>
    <i>
      <x v="1"/>
    </i>
    <i>
      <x v="2"/>
    </i>
    <i>
      <x v="3"/>
    </i>
    <i t="grand">
      <x/>
    </i>
  </rowItems>
  <colItems count="1">
    <i/>
  </colItems>
  <dataFields count="1">
    <dataField name="Sum of Revenue" fld="7" baseField="0" baseItem="0"/>
  </dataFields>
  <formats count="12">
    <format dxfId="6">
      <pivotArea type="all" dataOnly="0" outline="0" fieldPosition="0"/>
    </format>
    <format dxfId="7">
      <pivotArea outline="0" collapsedLevelsAreSubtotals="1" fieldPosition="0"/>
    </format>
    <format dxfId="8">
      <pivotArea field="1" type="button" dataOnly="0" labelOnly="1" outline="0" axis="axisRow" fieldPosition="0"/>
    </format>
    <format dxfId="9">
      <pivotArea dataOnly="0" labelOnly="1" fieldPosition="0">
        <references count="1">
          <reference field="1" count="0"/>
        </references>
      </pivotArea>
    </format>
    <format dxfId="10">
      <pivotArea dataOnly="0" labelOnly="1" grandRow="1" outline="0" fieldPosition="0"/>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0"/>
        </references>
      </pivotArea>
    </format>
    <format dxfId="16">
      <pivotArea dataOnly="0" labelOnly="1" grandRow="1" outline="0"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32266A-7C6C-4166-9E40-25ECC86730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Person">
  <location ref="A33:C39" firstHeaderRow="0" firstDataRow="1" firstDataCol="1"/>
  <pivotFields count="12">
    <pivotField numFmtId="15" showAll="0"/>
    <pivotField showAll="0">
      <items count="5">
        <item x="1"/>
        <item x="3"/>
        <item x="2"/>
        <item x="0"/>
        <item t="default"/>
      </items>
    </pivotField>
    <pivotField axis="axisRow" showAll="0">
      <items count="6">
        <item x="1"/>
        <item x="2"/>
        <item x="3"/>
        <item x="0"/>
        <item x="4"/>
        <item t="default"/>
      </items>
    </pivotField>
    <pivotField showAll="0">
      <items count="5">
        <item x="0"/>
        <item x="2"/>
        <item x="1"/>
        <item x="3"/>
        <item t="default"/>
      </items>
    </pivotField>
    <pivotField showAll="0"/>
    <pivotField showAll="0"/>
    <pivotField showAll="0"/>
    <pivotField dataField="1" showAll="0"/>
    <pivotField dataField="1" showAll="0"/>
    <pivotField showAll="0">
      <items count="11">
        <item x="0"/>
        <item x="1"/>
        <item x="2"/>
        <item x="3"/>
        <item x="4"/>
        <item x="5"/>
        <item x="6"/>
        <item x="7"/>
        <item x="8"/>
        <item x="9"/>
        <item t="default"/>
      </items>
    </pivotField>
    <pivotField showAll="0"/>
    <pivotField numFmtId="9" showAll="0"/>
  </pivotFields>
  <rowFields count="1">
    <field x="2"/>
  </rowFields>
  <rowItems count="6">
    <i>
      <x/>
    </i>
    <i>
      <x v="1"/>
    </i>
    <i>
      <x v="2"/>
    </i>
    <i>
      <x v="3"/>
    </i>
    <i>
      <x v="4"/>
    </i>
    <i t="grand">
      <x/>
    </i>
  </rowItems>
  <colFields count="1">
    <field x="-2"/>
  </colFields>
  <colItems count="2">
    <i>
      <x/>
    </i>
    <i i="1">
      <x v="1"/>
    </i>
  </colItems>
  <dataFields count="2">
    <dataField name="Sum of Revenue" fld="7" baseField="0" baseItem="0"/>
    <dataField name="Sum of Target" fld="8" baseField="0" baseItem="0"/>
  </dataFields>
  <formats count="6">
    <format dxfId="0">
      <pivotArea type="all" dataOnly="0" outline="0" fieldPosition="0"/>
    </format>
    <format dxfId="1">
      <pivotArea outline="0" collapsedLevelsAreSubtotals="1" fieldPosition="0"/>
    </format>
    <format dxfId="2">
      <pivotArea field="2" type="button" dataOnly="0" labelOnly="1" outline="0" axis="axisRow" fieldPosition="0"/>
    </format>
    <format dxfId="3">
      <pivotArea dataOnly="0" labelOnly="1" fieldPosition="0">
        <references count="1">
          <reference field="2" count="0"/>
        </references>
      </pivotArea>
    </format>
    <format dxfId="4">
      <pivotArea dataOnly="0" labelOnly="1" grandRow="1" outline="0" fieldPosition="0"/>
    </format>
    <format dxfId="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E1127D-B168-4914-8C2E-7C043582F6D9}" sourceName="Region">
  <pivotTables>
    <pivotTable tabId="3" name="PivotTable1"/>
    <pivotTable tabId="3" name="PivotTable2"/>
    <pivotTable tabId="3" name="PivotTable3"/>
    <pivotTable tabId="3" name="PivotTable5"/>
  </pivotTables>
  <data>
    <tabular pivotCacheId="154812335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D3E9BC04-A0A1-436C-9F4F-994B16198C11}" sourceName="Sales Person">
  <pivotTables>
    <pivotTable tabId="3" name="PivotTable1"/>
    <pivotTable tabId="3" name="PivotTable2"/>
    <pivotTable tabId="3" name="PivotTable3"/>
    <pivotTable tabId="3" name="PivotTable5"/>
  </pivotTables>
  <data>
    <tabular pivotCacheId="1548123358">
      <items count="5">
        <i x="1" s="1"/>
        <i x="2"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C9A29F-0589-42AB-A7A7-B13D29BF2722}" sourceName="Product">
  <pivotTables>
    <pivotTable tabId="3" name="PivotTable1"/>
    <pivotTable tabId="3" name="PivotTable2"/>
    <pivotTable tabId="3" name="PivotTable3"/>
    <pivotTable tabId="3" name="PivotTable5"/>
  </pivotTables>
  <data>
    <tabular pivotCacheId="1548123358">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8D28D5-2A37-4939-9248-327E45C9EF57}" sourceName="Month">
  <pivotTables>
    <pivotTable tabId="3" name="PivotTable1"/>
    <pivotTable tabId="3" name="PivotTable2"/>
    <pivotTable tabId="3" name="PivotTable3"/>
    <pivotTable tabId="3" name="PivotTable5"/>
  </pivotTables>
  <data>
    <tabular pivotCacheId="1548123358">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88B294D-F54E-4679-8F34-F1066BCF1EC0}" cache="Slicer_Region" caption="Region" rowHeight="241300"/>
  <slicer name="Sales Person 1" xr10:uid="{9F50623D-BA3B-4EFC-9082-2320C620D142}" cache="Slicer_Sales_Person" caption="Sales Person" rowHeight="241300"/>
  <slicer name="Product 1" xr10:uid="{2441ACB9-15CC-4064-BA15-8022413DF3C0}" cache="Slicer_Product" caption="Product" rowHeight="241300"/>
  <slicer name="Month 1" xr10:uid="{2333C5B8-AA58-4C5E-BB35-3F4BACEE6D67}"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F116DC-2230-412C-9122-30E01A576D99}" name="Table1" displayName="Table1" ref="A1:M301" headerRowDxfId="53" headerRowBorderDxfId="52" tableBorderDxfId="51">
  <autoFilter ref="A1:M301" xr:uid="{C9F116DC-2230-412C-9122-30E01A576D99}"/>
  <tableColumns count="13">
    <tableColumn id="1" xr3:uid="{D259FFD3-128D-4B3B-9C93-71ECB15C9362}" name="Date" totalsRowLabel="Total" dataDxfId="50"/>
    <tableColumn id="2" xr3:uid="{F7FEE4AD-E2F9-4CD2-989C-4253B13B7913}" name="Region" dataDxfId="49"/>
    <tableColumn id="3" xr3:uid="{17C00452-8C34-481F-AD01-957DDD539CC3}" name="Sales Person" dataDxfId="48"/>
    <tableColumn id="4" xr3:uid="{37D8C2B2-954B-4AF6-BDE4-4CE49D0C6730}" name="Product" dataDxfId="47"/>
    <tableColumn id="5" xr3:uid="{047E2091-A512-4C86-A726-508DC7A04253}" name="Category" dataDxfId="46">
      <calculatedColumnFormula>VLOOKUP(Table1[[#This Row],[Product]],Master!A:C,2,FALSE)</calculatedColumnFormula>
    </tableColumn>
    <tableColumn id="13" xr3:uid="{3F229CB2-B0AE-4CA9-880F-7A06A9C3FE13}" name="Price" dataDxfId="45">
      <calculatedColumnFormula>VLOOKUP(Table1[[#This Row],[Product]],Master!A:C,3,FALSE)</calculatedColumnFormula>
    </tableColumn>
    <tableColumn id="6" xr3:uid="{33B4634E-D68E-43B9-9D35-BDB0A6280193}" name="Units Sold" dataDxfId="44"/>
    <tableColumn id="7" xr3:uid="{4C514F3A-4BC6-4C96-9AE1-6D3B2C0508D3}" name="Revenue" dataDxfId="43"/>
    <tableColumn id="8" xr3:uid="{C7D0ACE0-A317-4175-854F-01D5C3DD2AB9}" name="Target" dataDxfId="42"/>
    <tableColumn id="9" xr3:uid="{5EC89948-1858-4878-B7C8-61E9344DACAF}" name="Month" dataDxfId="41">
      <calculatedColumnFormula>TEXT(Table1[[#This Row],[Date]],"mmm")</calculatedColumnFormula>
    </tableColumn>
    <tableColumn id="10" xr3:uid="{62D8E2D8-BE5D-4565-AD0E-58F56C5246E8}" name="Year" dataDxfId="40">
      <calculatedColumnFormula>YEAR(Table1[[#This Row],[Date]])</calculatedColumnFormula>
    </tableColumn>
    <tableColumn id="11" xr3:uid="{F7071BD8-4F41-4FEC-A342-55F6098050BF}" name="Achieved %" totalsRowFunction="sum" dataDxfId="39" totalsRowDxfId="38">
      <calculatedColumnFormula>Table1[[#This Row],[Revenue]]/Table1[[#This Row],[Target]]</calculatedColumnFormula>
    </tableColumn>
    <tableColumn id="12" xr3:uid="{17305324-06CA-4927-82D0-9BBEBF0B1E7A}" name="Arrow Indicator" dataDxfId="37">
      <calculatedColumnFormula>IF(Table1[[#This Row],[Achieved %]]&gt;1,"▲","▼")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2501A0-CCB8-454F-BF78-42818F352066}" name="Table2" displayName="Table2" ref="A1:C5" totalsRowShown="0" headerRowDxfId="36" dataDxfId="35">
  <autoFilter ref="A1:C5" xr:uid="{CE2501A0-CCB8-454F-BF78-42818F352066}"/>
  <tableColumns count="3">
    <tableColumn id="1" xr3:uid="{BC8EE272-58E2-4301-A74A-53C6B40D9BE1}" name="Product" dataDxfId="34"/>
    <tableColumn id="2" xr3:uid="{2AAFF9AF-F44B-4733-BAF6-F2AD90A5CD10}" name="Category" dataDxfId="33"/>
    <tableColumn id="3" xr3:uid="{2B958A38-13B1-4914-8B9A-50FCACB8B097}" name="Price" dataDxfId="3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DF6AB-B63D-4B83-91BB-FFE811AAF222}">
  <dimension ref="A1:B4"/>
  <sheetViews>
    <sheetView showGridLines="0" tabSelected="1" workbookViewId="0">
      <selection activeCell="F4" sqref="F4"/>
    </sheetView>
  </sheetViews>
  <sheetFormatPr defaultRowHeight="15" x14ac:dyDescent="0.25"/>
  <cols>
    <col min="1" max="1" width="15.85546875" bestFit="1" customWidth="1"/>
    <col min="2" max="2" width="15" bestFit="1" customWidth="1"/>
  </cols>
  <sheetData>
    <row r="1" spans="1:2" x14ac:dyDescent="0.25">
      <c r="A1" s="12" t="s">
        <v>41</v>
      </c>
      <c r="B1" s="10">
        <f>SUM(Table1[Revenue])</f>
        <v>43125000</v>
      </c>
    </row>
    <row r="2" spans="1:2" x14ac:dyDescent="0.25">
      <c r="A2" s="13" t="s">
        <v>42</v>
      </c>
      <c r="B2" s="10">
        <f>SUM(Table1[[#All],[Target]])</f>
        <v>42976807</v>
      </c>
    </row>
    <row r="3" spans="1:2" x14ac:dyDescent="0.25">
      <c r="A3" s="14" t="s">
        <v>43</v>
      </c>
      <c r="B3" s="11">
        <f>B1/B2</f>
        <v>1.0034482087047556</v>
      </c>
    </row>
    <row r="4" spans="1:2" x14ac:dyDescent="0.25">
      <c r="A4" s="15" t="s">
        <v>44</v>
      </c>
      <c r="B4" s="10" t="str">
        <f>INDEX(Table1[[#All],[Region]],MATCH(MAX(Table1[[#All],[Revenue]]),Table1[[#All],[Revenue]],0))</f>
        <v>West</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CDAA6-FECA-4F25-B169-5022F5295380}">
  <dimension ref="A3:F39"/>
  <sheetViews>
    <sheetView workbookViewId="0">
      <selection activeCell="G10" sqref="G10"/>
    </sheetView>
  </sheetViews>
  <sheetFormatPr defaultRowHeight="15" x14ac:dyDescent="0.25"/>
  <cols>
    <col min="1" max="1" width="14.42578125" bestFit="1" customWidth="1"/>
    <col min="2" max="2" width="15.5703125" bestFit="1" customWidth="1"/>
    <col min="3" max="3" width="13.28515625" bestFit="1" customWidth="1"/>
  </cols>
  <sheetData>
    <row r="3" spans="1:6" x14ac:dyDescent="0.25">
      <c r="A3" s="2" t="s">
        <v>1</v>
      </c>
      <c r="B3" s="3" t="s">
        <v>28</v>
      </c>
    </row>
    <row r="4" spans="1:6" x14ac:dyDescent="0.25">
      <c r="A4" s="4" t="s">
        <v>12</v>
      </c>
      <c r="B4" s="3">
        <v>11485000</v>
      </c>
    </row>
    <row r="5" spans="1:6" x14ac:dyDescent="0.25">
      <c r="A5" s="4" t="s">
        <v>18</v>
      </c>
      <c r="B5" s="3">
        <v>8385000</v>
      </c>
    </row>
    <row r="6" spans="1:6" x14ac:dyDescent="0.25">
      <c r="A6" s="4" t="s">
        <v>16</v>
      </c>
      <c r="B6" s="3">
        <v>11720000</v>
      </c>
    </row>
    <row r="7" spans="1:6" x14ac:dyDescent="0.25">
      <c r="A7" s="4" t="s">
        <v>8</v>
      </c>
      <c r="B7" s="3">
        <v>11535000</v>
      </c>
    </row>
    <row r="8" spans="1:6" x14ac:dyDescent="0.25">
      <c r="A8" s="4" t="s">
        <v>27</v>
      </c>
      <c r="B8" s="3">
        <v>43125000</v>
      </c>
    </row>
    <row r="11" spans="1:6" x14ac:dyDescent="0.25">
      <c r="A11" s="2" t="s">
        <v>3</v>
      </c>
      <c r="B11" s="3" t="s">
        <v>28</v>
      </c>
    </row>
    <row r="12" spans="1:6" x14ac:dyDescent="0.25">
      <c r="A12" s="4" t="s">
        <v>10</v>
      </c>
      <c r="B12" s="3">
        <v>20300000</v>
      </c>
    </row>
    <row r="13" spans="1:6" x14ac:dyDescent="0.25">
      <c r="A13" s="4" t="s">
        <v>17</v>
      </c>
      <c r="B13" s="3">
        <v>8800000</v>
      </c>
    </row>
    <row r="14" spans="1:6" x14ac:dyDescent="0.25">
      <c r="A14" s="4" t="s">
        <v>14</v>
      </c>
      <c r="B14" s="3">
        <v>5175000</v>
      </c>
      <c r="F14" t="s">
        <v>40</v>
      </c>
    </row>
    <row r="15" spans="1:6" x14ac:dyDescent="0.25">
      <c r="A15" s="4" t="s">
        <v>21</v>
      </c>
      <c r="B15" s="3">
        <v>8850000</v>
      </c>
    </row>
    <row r="16" spans="1:6" x14ac:dyDescent="0.25">
      <c r="A16" s="4" t="s">
        <v>27</v>
      </c>
      <c r="B16" s="3">
        <v>43125000</v>
      </c>
    </row>
    <row r="19" spans="1:2" x14ac:dyDescent="0.25">
      <c r="A19" s="2" t="s">
        <v>23</v>
      </c>
      <c r="B19" s="3" t="s">
        <v>28</v>
      </c>
    </row>
    <row r="20" spans="1:2" x14ac:dyDescent="0.25">
      <c r="A20" s="4" t="s">
        <v>29</v>
      </c>
      <c r="B20" s="3">
        <v>3375000</v>
      </c>
    </row>
    <row r="21" spans="1:2" x14ac:dyDescent="0.25">
      <c r="A21" s="4" t="s">
        <v>30</v>
      </c>
      <c r="B21" s="3">
        <v>4370000</v>
      </c>
    </row>
    <row r="22" spans="1:2" x14ac:dyDescent="0.25">
      <c r="A22" s="4" t="s">
        <v>31</v>
      </c>
      <c r="B22" s="3">
        <v>4595000</v>
      </c>
    </row>
    <row r="23" spans="1:2" x14ac:dyDescent="0.25">
      <c r="A23" s="4" t="s">
        <v>32</v>
      </c>
      <c r="B23" s="3">
        <v>4635000</v>
      </c>
    </row>
    <row r="24" spans="1:2" x14ac:dyDescent="0.25">
      <c r="A24" s="4" t="s">
        <v>33</v>
      </c>
      <c r="B24" s="3">
        <v>4505000</v>
      </c>
    </row>
    <row r="25" spans="1:2" x14ac:dyDescent="0.25">
      <c r="A25" s="4" t="s">
        <v>34</v>
      </c>
      <c r="B25" s="3">
        <v>4790000</v>
      </c>
    </row>
    <row r="26" spans="1:2" x14ac:dyDescent="0.25">
      <c r="A26" s="4" t="s">
        <v>35</v>
      </c>
      <c r="B26" s="3">
        <v>4960000</v>
      </c>
    </row>
    <row r="27" spans="1:2" x14ac:dyDescent="0.25">
      <c r="A27" s="4" t="s">
        <v>36</v>
      </c>
      <c r="B27" s="3">
        <v>3365000</v>
      </c>
    </row>
    <row r="28" spans="1:2" x14ac:dyDescent="0.25">
      <c r="A28" s="4" t="s">
        <v>37</v>
      </c>
      <c r="B28" s="3">
        <v>4620000</v>
      </c>
    </row>
    <row r="29" spans="1:2" x14ac:dyDescent="0.25">
      <c r="A29" s="4" t="s">
        <v>38</v>
      </c>
      <c r="B29" s="3">
        <v>3910000</v>
      </c>
    </row>
    <row r="30" spans="1:2" x14ac:dyDescent="0.25">
      <c r="A30" s="4" t="s">
        <v>27</v>
      </c>
      <c r="B30" s="3">
        <v>43125000</v>
      </c>
    </row>
    <row r="33" spans="1:3" x14ac:dyDescent="0.25">
      <c r="A33" s="2" t="s">
        <v>2</v>
      </c>
      <c r="B33" s="3" t="s">
        <v>28</v>
      </c>
      <c r="C33" s="3" t="s">
        <v>39</v>
      </c>
    </row>
    <row r="34" spans="1:3" x14ac:dyDescent="0.25">
      <c r="A34" s="4" t="s">
        <v>13</v>
      </c>
      <c r="B34" s="3">
        <v>7110000</v>
      </c>
      <c r="C34" s="3">
        <v>7134373</v>
      </c>
    </row>
    <row r="35" spans="1:3" x14ac:dyDescent="0.25">
      <c r="A35" s="4" t="s">
        <v>19</v>
      </c>
      <c r="B35" s="3">
        <v>9480000</v>
      </c>
      <c r="C35" s="3">
        <v>9330366</v>
      </c>
    </row>
    <row r="36" spans="1:3" x14ac:dyDescent="0.25">
      <c r="A36" s="4" t="s">
        <v>20</v>
      </c>
      <c r="B36" s="3">
        <v>8720000</v>
      </c>
      <c r="C36" s="3">
        <v>8781845</v>
      </c>
    </row>
    <row r="37" spans="1:3" x14ac:dyDescent="0.25">
      <c r="A37" s="4" t="s">
        <v>9</v>
      </c>
      <c r="B37" s="3">
        <v>9245000</v>
      </c>
      <c r="C37" s="3">
        <v>9185134</v>
      </c>
    </row>
    <row r="38" spans="1:3" x14ac:dyDescent="0.25">
      <c r="A38" s="4" t="s">
        <v>22</v>
      </c>
      <c r="B38" s="3">
        <v>8570000</v>
      </c>
      <c r="C38" s="3">
        <v>8545089</v>
      </c>
    </row>
    <row r="39" spans="1:3" x14ac:dyDescent="0.25">
      <c r="A39" s="4" t="s">
        <v>27</v>
      </c>
      <c r="B39" s="3">
        <v>43125000</v>
      </c>
      <c r="C39" s="3">
        <v>42976807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8FDE9-CE9C-460B-A592-EEEEE8587729}">
  <dimension ref="A1:M301"/>
  <sheetViews>
    <sheetView workbookViewId="0">
      <pane ySplit="1" topLeftCell="A281" activePane="bottomLeft" state="frozen"/>
      <selection pane="bottomLeft" activeCell="H301" sqref="H301"/>
    </sheetView>
  </sheetViews>
  <sheetFormatPr defaultRowHeight="15" x14ac:dyDescent="0.25"/>
  <cols>
    <col min="1" max="1" width="10.140625" bestFit="1" customWidth="1"/>
    <col min="2" max="2" width="9.28515625" customWidth="1"/>
    <col min="3" max="3" width="14.28515625" customWidth="1"/>
    <col min="4" max="4" width="10" customWidth="1"/>
    <col min="5" max="5" width="11" customWidth="1"/>
    <col min="6" max="6" width="12.140625" customWidth="1"/>
    <col min="7" max="7" width="11" customWidth="1"/>
    <col min="8" max="8" width="8.7109375" customWidth="1"/>
  </cols>
  <sheetData>
    <row r="1" spans="1:13" x14ac:dyDescent="0.25">
      <c r="A1" s="7" t="s">
        <v>0</v>
      </c>
      <c r="B1" s="8" t="s">
        <v>1</v>
      </c>
      <c r="C1" s="8" t="s">
        <v>2</v>
      </c>
      <c r="D1" s="8" t="s">
        <v>3</v>
      </c>
      <c r="E1" s="8" t="s">
        <v>4</v>
      </c>
      <c r="F1" s="8" t="s">
        <v>26</v>
      </c>
      <c r="G1" s="8" t="s">
        <v>5</v>
      </c>
      <c r="H1" s="8" t="s">
        <v>6</v>
      </c>
      <c r="I1" s="8" t="s">
        <v>7</v>
      </c>
      <c r="J1" s="8" t="s">
        <v>23</v>
      </c>
      <c r="K1" s="8" t="s">
        <v>24</v>
      </c>
      <c r="L1" s="8" t="s">
        <v>25</v>
      </c>
      <c r="M1" s="3" t="s">
        <v>45</v>
      </c>
    </row>
    <row r="2" spans="1:13" x14ac:dyDescent="0.25">
      <c r="A2" s="5">
        <v>45292</v>
      </c>
      <c r="B2" s="3" t="s">
        <v>8</v>
      </c>
      <c r="C2" s="3" t="s">
        <v>9</v>
      </c>
      <c r="D2" s="3" t="s">
        <v>10</v>
      </c>
      <c r="E2" s="3" t="str">
        <f>VLOOKUP(Table1[[#This Row],[Product]],Master!A:C,2,FALSE)</f>
        <v>Electronics</v>
      </c>
      <c r="F2" s="3">
        <f>VLOOKUP(Table1[[#This Row],[Product]],Master!A:C,3,FALSE)</f>
        <v>50000</v>
      </c>
      <c r="G2" s="3">
        <v>6</v>
      </c>
      <c r="H2" s="3">
        <v>300000</v>
      </c>
      <c r="I2" s="3">
        <v>301243</v>
      </c>
      <c r="J2" s="3" t="str">
        <f>TEXT(Table1[[#This Row],[Date]],"mmm")</f>
        <v>Jan</v>
      </c>
      <c r="K2" s="3">
        <f>YEAR(Table1[[#This Row],[Date]])</f>
        <v>2024</v>
      </c>
      <c r="L2" s="6">
        <f>Table1[[#This Row],[Revenue]]/Table1[[#This Row],[Target]]</f>
        <v>0.99587376304179687</v>
      </c>
      <c r="M2" s="3" t="str">
        <f>IF(Table1[[#This Row],[Achieved %]]&gt;1,"▲","▼")</f>
        <v>▼</v>
      </c>
    </row>
    <row r="3" spans="1:13" x14ac:dyDescent="0.25">
      <c r="A3" s="5">
        <v>45293</v>
      </c>
      <c r="B3" s="3" t="s">
        <v>12</v>
      </c>
      <c r="C3" s="3" t="s">
        <v>13</v>
      </c>
      <c r="D3" s="3" t="s">
        <v>14</v>
      </c>
      <c r="E3" s="3" t="str">
        <f>VLOOKUP(Table1[[#This Row],[Product]],Master!A:C,2,FALSE)</f>
        <v>Office</v>
      </c>
      <c r="F3" s="3">
        <f>VLOOKUP(Table1[[#This Row],[Product]],Master!A:C,3,FALSE)</f>
        <v>15000</v>
      </c>
      <c r="G3" s="3">
        <v>6</v>
      </c>
      <c r="H3" s="3">
        <v>90000</v>
      </c>
      <c r="I3" s="3">
        <v>84935</v>
      </c>
      <c r="J3" s="3" t="str">
        <f>TEXT(Table1[[#This Row],[Date]],"mmm")</f>
        <v>Jan</v>
      </c>
      <c r="K3" s="3">
        <f>YEAR(Table1[[#This Row],[Date]])</f>
        <v>2024</v>
      </c>
      <c r="L3" s="6">
        <f>Table1[[#This Row],[Revenue]]/Table1[[#This Row],[Target]]</f>
        <v>1.0596338376405487</v>
      </c>
      <c r="M3" s="3" t="str">
        <f>IF(Table1[[#This Row],[Achieved %]]&gt;1,"▲","▼")</f>
        <v>▲</v>
      </c>
    </row>
    <row r="4" spans="1:13" x14ac:dyDescent="0.25">
      <c r="A4" s="5">
        <v>45294</v>
      </c>
      <c r="B4" s="3" t="s">
        <v>8</v>
      </c>
      <c r="C4" s="3" t="s">
        <v>13</v>
      </c>
      <c r="D4" s="3" t="s">
        <v>10</v>
      </c>
      <c r="E4" s="3" t="str">
        <f>VLOOKUP(Table1[[#This Row],[Product]],Master!A:C,2,FALSE)</f>
        <v>Electronics</v>
      </c>
      <c r="F4" s="3">
        <f>VLOOKUP(Table1[[#This Row],[Product]],Master!A:C,3,FALSE)</f>
        <v>50000</v>
      </c>
      <c r="G4" s="3">
        <v>2</v>
      </c>
      <c r="H4" s="3">
        <v>100000</v>
      </c>
      <c r="I4" s="3">
        <v>112230</v>
      </c>
      <c r="J4" s="3" t="str">
        <f>TEXT(Table1[[#This Row],[Date]],"mmm")</f>
        <v>Jan</v>
      </c>
      <c r="K4" s="3">
        <f>YEAR(Table1[[#This Row],[Date]])</f>
        <v>2024</v>
      </c>
      <c r="L4" s="6">
        <f>Table1[[#This Row],[Revenue]]/Table1[[#This Row],[Target]]</f>
        <v>0.89102735453978432</v>
      </c>
      <c r="M4" s="3" t="str">
        <f>IF(Table1[[#This Row],[Achieved %]]&gt;1,"▲","▼")</f>
        <v>▼</v>
      </c>
    </row>
    <row r="5" spans="1:13" x14ac:dyDescent="0.25">
      <c r="A5" s="5">
        <v>45295</v>
      </c>
      <c r="B5" s="3" t="s">
        <v>16</v>
      </c>
      <c r="C5" s="3" t="s">
        <v>13</v>
      </c>
      <c r="D5" s="3" t="s">
        <v>17</v>
      </c>
      <c r="E5" s="3" t="str">
        <f>VLOOKUP(Table1[[#This Row],[Product]],Master!A:C,2,FALSE)</f>
        <v>Electronics</v>
      </c>
      <c r="F5" s="3">
        <f>VLOOKUP(Table1[[#This Row],[Product]],Master!A:C,3,FALSE)</f>
        <v>20000</v>
      </c>
      <c r="G5" s="3">
        <v>6</v>
      </c>
      <c r="H5" s="3">
        <v>120000</v>
      </c>
      <c r="I5" s="3">
        <v>116921</v>
      </c>
      <c r="J5" s="3" t="str">
        <f>TEXT(Table1[[#This Row],[Date]],"mmm")</f>
        <v>Jan</v>
      </c>
      <c r="K5" s="3">
        <f>YEAR(Table1[[#This Row],[Date]])</f>
        <v>2024</v>
      </c>
      <c r="L5" s="6">
        <f>Table1[[#This Row],[Revenue]]/Table1[[#This Row],[Target]]</f>
        <v>1.0263340204069415</v>
      </c>
      <c r="M5" s="3" t="str">
        <f>IF(Table1[[#This Row],[Achieved %]]&gt;1,"▲","▼")</f>
        <v>▲</v>
      </c>
    </row>
    <row r="6" spans="1:13" x14ac:dyDescent="0.25">
      <c r="A6" s="5">
        <v>45296</v>
      </c>
      <c r="B6" s="3" t="s">
        <v>18</v>
      </c>
      <c r="C6" s="3" t="s">
        <v>19</v>
      </c>
      <c r="D6" s="3" t="s">
        <v>17</v>
      </c>
      <c r="E6" s="3" t="str">
        <f>VLOOKUP(Table1[[#This Row],[Product]],Master!A:C,2,FALSE)</f>
        <v>Electronics</v>
      </c>
      <c r="F6" s="3">
        <f>VLOOKUP(Table1[[#This Row],[Product]],Master!A:C,3,FALSE)</f>
        <v>20000</v>
      </c>
      <c r="G6" s="3">
        <v>5</v>
      </c>
      <c r="H6" s="3">
        <v>100000</v>
      </c>
      <c r="I6" s="3">
        <v>82163</v>
      </c>
      <c r="J6" s="3" t="str">
        <f>TEXT(Table1[[#This Row],[Date]],"mmm")</f>
        <v>Jan</v>
      </c>
      <c r="K6" s="3">
        <f>YEAR(Table1[[#This Row],[Date]])</f>
        <v>2024</v>
      </c>
      <c r="L6" s="6">
        <f>Table1[[#This Row],[Revenue]]/Table1[[#This Row],[Target]]</f>
        <v>1.2170928520136801</v>
      </c>
      <c r="M6" s="3" t="str">
        <f>IF(Table1[[#This Row],[Achieved %]]&gt;1,"▲","▼")</f>
        <v>▲</v>
      </c>
    </row>
    <row r="7" spans="1:13" x14ac:dyDescent="0.25">
      <c r="A7" s="5">
        <v>45297</v>
      </c>
      <c r="B7" s="3" t="s">
        <v>18</v>
      </c>
      <c r="C7" s="3" t="s">
        <v>9</v>
      </c>
      <c r="D7" s="3" t="s">
        <v>17</v>
      </c>
      <c r="E7" s="3" t="str">
        <f>VLOOKUP(Table1[[#This Row],[Product]],Master!A:C,2,FALSE)</f>
        <v>Electronics</v>
      </c>
      <c r="F7" s="3">
        <f>VLOOKUP(Table1[[#This Row],[Product]],Master!A:C,3,FALSE)</f>
        <v>20000</v>
      </c>
      <c r="G7" s="3">
        <v>1</v>
      </c>
      <c r="H7" s="3">
        <v>20000</v>
      </c>
      <c r="I7" s="3">
        <v>24675</v>
      </c>
      <c r="J7" s="3" t="str">
        <f>TEXT(Table1[[#This Row],[Date]],"mmm")</f>
        <v>Jan</v>
      </c>
      <c r="K7" s="3">
        <f>YEAR(Table1[[#This Row],[Date]])</f>
        <v>2024</v>
      </c>
      <c r="L7" s="6">
        <f>Table1[[#This Row],[Revenue]]/Table1[[#This Row],[Target]]</f>
        <v>0.81053698074974667</v>
      </c>
      <c r="M7" s="3" t="str">
        <f>IF(Table1[[#This Row],[Achieved %]]&gt;1,"▲","▼")</f>
        <v>▼</v>
      </c>
    </row>
    <row r="8" spans="1:13" x14ac:dyDescent="0.25">
      <c r="A8" s="5">
        <v>45298</v>
      </c>
      <c r="B8" s="3" t="s">
        <v>12</v>
      </c>
      <c r="C8" s="3" t="s">
        <v>13</v>
      </c>
      <c r="D8" s="3" t="s">
        <v>14</v>
      </c>
      <c r="E8" s="3" t="str">
        <f>VLOOKUP(Table1[[#This Row],[Product]],Master!A:C,2,FALSE)</f>
        <v>Office</v>
      </c>
      <c r="F8" s="3">
        <f>VLOOKUP(Table1[[#This Row],[Product]],Master!A:C,3,FALSE)</f>
        <v>15000</v>
      </c>
      <c r="G8" s="3">
        <v>4</v>
      </c>
      <c r="H8" s="3">
        <v>60000</v>
      </c>
      <c r="I8" s="3">
        <v>43219</v>
      </c>
      <c r="J8" s="3" t="str">
        <f>TEXT(Table1[[#This Row],[Date]],"mmm")</f>
        <v>Jan</v>
      </c>
      <c r="K8" s="3">
        <f>YEAR(Table1[[#This Row],[Date]])</f>
        <v>2024</v>
      </c>
      <c r="L8" s="6">
        <f>Table1[[#This Row],[Revenue]]/Table1[[#This Row],[Target]]</f>
        <v>1.388278303523913</v>
      </c>
      <c r="M8" s="3" t="str">
        <f>IF(Table1[[#This Row],[Achieved %]]&gt;1,"▲","▼")</f>
        <v>▲</v>
      </c>
    </row>
    <row r="9" spans="1:13" x14ac:dyDescent="0.25">
      <c r="A9" s="5">
        <v>45299</v>
      </c>
      <c r="B9" s="3" t="s">
        <v>8</v>
      </c>
      <c r="C9" s="3" t="s">
        <v>19</v>
      </c>
      <c r="D9" s="3" t="s">
        <v>17</v>
      </c>
      <c r="E9" s="3" t="str">
        <f>VLOOKUP(Table1[[#This Row],[Product]],Master!A:C,2,FALSE)</f>
        <v>Electronics</v>
      </c>
      <c r="F9" s="3">
        <f>VLOOKUP(Table1[[#This Row],[Product]],Master!A:C,3,FALSE)</f>
        <v>20000</v>
      </c>
      <c r="G9" s="3">
        <v>1</v>
      </c>
      <c r="H9" s="3">
        <v>20000</v>
      </c>
      <c r="I9" s="3">
        <v>18676</v>
      </c>
      <c r="J9" s="3" t="str">
        <f>TEXT(Table1[[#This Row],[Date]],"mmm")</f>
        <v>Jan</v>
      </c>
      <c r="K9" s="3">
        <f>YEAR(Table1[[#This Row],[Date]])</f>
        <v>2024</v>
      </c>
      <c r="L9" s="6">
        <f>Table1[[#This Row],[Revenue]]/Table1[[#This Row],[Target]]</f>
        <v>1.0708931248661384</v>
      </c>
      <c r="M9" s="3" t="str">
        <f>IF(Table1[[#This Row],[Achieved %]]&gt;1,"▲","▼")</f>
        <v>▲</v>
      </c>
    </row>
    <row r="10" spans="1:13" x14ac:dyDescent="0.25">
      <c r="A10" s="5">
        <v>45300</v>
      </c>
      <c r="B10" s="3" t="s">
        <v>18</v>
      </c>
      <c r="C10" s="3" t="s">
        <v>20</v>
      </c>
      <c r="D10" s="3" t="s">
        <v>21</v>
      </c>
      <c r="E10" s="3" t="str">
        <f>VLOOKUP(Table1[[#This Row],[Product]],Master!A:C,2,FALSE)</f>
        <v>Electronics</v>
      </c>
      <c r="F10" s="3">
        <f>VLOOKUP(Table1[[#This Row],[Product]],Master!A:C,3,FALSE)</f>
        <v>30000</v>
      </c>
      <c r="G10" s="3">
        <v>3</v>
      </c>
      <c r="H10" s="3">
        <v>90000</v>
      </c>
      <c r="I10" s="3">
        <v>87591</v>
      </c>
      <c r="J10" s="3" t="str">
        <f>TEXT(Table1[[#This Row],[Date]],"mmm")</f>
        <v>Jan</v>
      </c>
      <c r="K10" s="3">
        <f>YEAR(Table1[[#This Row],[Date]])</f>
        <v>2024</v>
      </c>
      <c r="L10" s="6">
        <f>Table1[[#This Row],[Revenue]]/Table1[[#This Row],[Target]]</f>
        <v>1.0275028256327705</v>
      </c>
      <c r="M10" s="3" t="str">
        <f>IF(Table1[[#This Row],[Achieved %]]&gt;1,"▲","▼")</f>
        <v>▲</v>
      </c>
    </row>
    <row r="11" spans="1:13" x14ac:dyDescent="0.25">
      <c r="A11" s="5">
        <v>45301</v>
      </c>
      <c r="B11" s="3" t="s">
        <v>16</v>
      </c>
      <c r="C11" s="3" t="s">
        <v>13</v>
      </c>
      <c r="D11" s="3" t="s">
        <v>10</v>
      </c>
      <c r="E11" s="3" t="str">
        <f>VLOOKUP(Table1[[#This Row],[Product]],Master!A:C,2,FALSE)</f>
        <v>Electronics</v>
      </c>
      <c r="F11" s="3">
        <f>VLOOKUP(Table1[[#This Row],[Product]],Master!A:C,3,FALSE)</f>
        <v>50000</v>
      </c>
      <c r="G11" s="3">
        <v>1</v>
      </c>
      <c r="H11" s="3">
        <v>50000</v>
      </c>
      <c r="I11" s="3">
        <v>53605</v>
      </c>
      <c r="J11" s="3" t="str">
        <f>TEXT(Table1[[#This Row],[Date]],"mmm")</f>
        <v>Jan</v>
      </c>
      <c r="K11" s="3">
        <f>YEAR(Table1[[#This Row],[Date]])</f>
        <v>2024</v>
      </c>
      <c r="L11" s="6">
        <f>Table1[[#This Row],[Revenue]]/Table1[[#This Row],[Target]]</f>
        <v>0.93274881074526628</v>
      </c>
      <c r="M11" s="3" t="str">
        <f>IF(Table1[[#This Row],[Achieved %]]&gt;1,"▲","▼")</f>
        <v>▼</v>
      </c>
    </row>
    <row r="12" spans="1:13" x14ac:dyDescent="0.25">
      <c r="A12" s="5">
        <v>45302</v>
      </c>
      <c r="B12" s="3" t="s">
        <v>18</v>
      </c>
      <c r="C12" s="3" t="s">
        <v>9</v>
      </c>
      <c r="D12" s="3" t="s">
        <v>10</v>
      </c>
      <c r="E12" s="3" t="str">
        <f>VLOOKUP(Table1[[#This Row],[Product]],Master!A:C,2,FALSE)</f>
        <v>Electronics</v>
      </c>
      <c r="F12" s="3">
        <f>VLOOKUP(Table1[[#This Row],[Product]],Master!A:C,3,FALSE)</f>
        <v>50000</v>
      </c>
      <c r="G12" s="3">
        <v>2</v>
      </c>
      <c r="H12" s="3">
        <v>100000</v>
      </c>
      <c r="I12" s="3">
        <v>111055</v>
      </c>
      <c r="J12" s="3" t="str">
        <f>TEXT(Table1[[#This Row],[Date]],"mmm")</f>
        <v>Jan</v>
      </c>
      <c r="K12" s="3">
        <f>YEAR(Table1[[#This Row],[Date]])</f>
        <v>2024</v>
      </c>
      <c r="L12" s="6">
        <f>Table1[[#This Row],[Revenue]]/Table1[[#This Row],[Target]]</f>
        <v>0.9004547296384674</v>
      </c>
      <c r="M12" s="3" t="str">
        <f>IF(Table1[[#This Row],[Achieved %]]&gt;1,"▲","▼")</f>
        <v>▼</v>
      </c>
    </row>
    <row r="13" spans="1:13" x14ac:dyDescent="0.25">
      <c r="A13" s="5">
        <v>45303</v>
      </c>
      <c r="B13" s="3" t="s">
        <v>16</v>
      </c>
      <c r="C13" s="3" t="s">
        <v>9</v>
      </c>
      <c r="D13" s="3" t="s">
        <v>21</v>
      </c>
      <c r="E13" s="3" t="str">
        <f>VLOOKUP(Table1[[#This Row],[Product]],Master!A:C,2,FALSE)</f>
        <v>Electronics</v>
      </c>
      <c r="F13" s="3">
        <f>VLOOKUP(Table1[[#This Row],[Product]],Master!A:C,3,FALSE)</f>
        <v>30000</v>
      </c>
      <c r="G13" s="3">
        <v>9</v>
      </c>
      <c r="H13" s="3">
        <v>270000</v>
      </c>
      <c r="I13" s="3">
        <v>270737</v>
      </c>
      <c r="J13" s="3" t="str">
        <f>TEXT(Table1[[#This Row],[Date]],"mmm")</f>
        <v>Jan</v>
      </c>
      <c r="K13" s="3">
        <f>YEAR(Table1[[#This Row],[Date]])</f>
        <v>2024</v>
      </c>
      <c r="L13" s="6">
        <f>Table1[[#This Row],[Revenue]]/Table1[[#This Row],[Target]]</f>
        <v>0.99727780096551266</v>
      </c>
      <c r="M13" s="3" t="str">
        <f>IF(Table1[[#This Row],[Achieved %]]&gt;1,"▲","▼")</f>
        <v>▼</v>
      </c>
    </row>
    <row r="14" spans="1:13" x14ac:dyDescent="0.25">
      <c r="A14" s="5">
        <v>45304</v>
      </c>
      <c r="B14" s="3" t="s">
        <v>8</v>
      </c>
      <c r="C14" s="3" t="s">
        <v>19</v>
      </c>
      <c r="D14" s="3" t="s">
        <v>17</v>
      </c>
      <c r="E14" s="3" t="str">
        <f>VLOOKUP(Table1[[#This Row],[Product]],Master!A:C,2,FALSE)</f>
        <v>Electronics</v>
      </c>
      <c r="F14" s="3">
        <f>VLOOKUP(Table1[[#This Row],[Product]],Master!A:C,3,FALSE)</f>
        <v>20000</v>
      </c>
      <c r="G14" s="3">
        <v>4</v>
      </c>
      <c r="H14" s="3">
        <v>80000</v>
      </c>
      <c r="I14" s="3">
        <v>72134</v>
      </c>
      <c r="J14" s="3" t="str">
        <f>TEXT(Table1[[#This Row],[Date]],"mmm")</f>
        <v>Jan</v>
      </c>
      <c r="K14" s="3">
        <f>YEAR(Table1[[#This Row],[Date]])</f>
        <v>2024</v>
      </c>
      <c r="L14" s="6">
        <f>Table1[[#This Row],[Revenue]]/Table1[[#This Row],[Target]]</f>
        <v>1.1090470513211523</v>
      </c>
      <c r="M14" s="3" t="str">
        <f>IF(Table1[[#This Row],[Achieved %]]&gt;1,"▲","▼")</f>
        <v>▲</v>
      </c>
    </row>
    <row r="15" spans="1:13" x14ac:dyDescent="0.25">
      <c r="A15" s="5">
        <v>45305</v>
      </c>
      <c r="B15" s="3" t="s">
        <v>18</v>
      </c>
      <c r="C15" s="3" t="s">
        <v>19</v>
      </c>
      <c r="D15" s="3" t="s">
        <v>21</v>
      </c>
      <c r="E15" s="3" t="str">
        <f>VLOOKUP(Table1[[#This Row],[Product]],Master!A:C,2,FALSE)</f>
        <v>Electronics</v>
      </c>
      <c r="F15" s="3">
        <f>VLOOKUP(Table1[[#This Row],[Product]],Master!A:C,3,FALSE)</f>
        <v>30000</v>
      </c>
      <c r="G15" s="3">
        <v>3</v>
      </c>
      <c r="H15" s="3">
        <v>90000</v>
      </c>
      <c r="I15" s="3">
        <v>90571</v>
      </c>
      <c r="J15" s="3" t="str">
        <f>TEXT(Table1[[#This Row],[Date]],"mmm")</f>
        <v>Jan</v>
      </c>
      <c r="K15" s="3">
        <f>YEAR(Table1[[#This Row],[Date]])</f>
        <v>2024</v>
      </c>
      <c r="L15" s="6">
        <f>Table1[[#This Row],[Revenue]]/Table1[[#This Row],[Target]]</f>
        <v>0.99369555376444996</v>
      </c>
      <c r="M15" s="3" t="str">
        <f>IF(Table1[[#This Row],[Achieved %]]&gt;1,"▲","▼")</f>
        <v>▼</v>
      </c>
    </row>
    <row r="16" spans="1:13" x14ac:dyDescent="0.25">
      <c r="A16" s="5">
        <v>45306</v>
      </c>
      <c r="B16" s="3" t="s">
        <v>12</v>
      </c>
      <c r="C16" s="3" t="s">
        <v>22</v>
      </c>
      <c r="D16" s="3" t="s">
        <v>17</v>
      </c>
      <c r="E16" s="3" t="str">
        <f>VLOOKUP(Table1[[#This Row],[Product]],Master!A:C,2,FALSE)</f>
        <v>Electronics</v>
      </c>
      <c r="F16" s="3">
        <f>VLOOKUP(Table1[[#This Row],[Product]],Master!A:C,3,FALSE)</f>
        <v>20000</v>
      </c>
      <c r="G16" s="3">
        <v>5</v>
      </c>
      <c r="H16" s="3">
        <v>100000</v>
      </c>
      <c r="I16" s="3">
        <v>84420</v>
      </c>
      <c r="J16" s="3" t="str">
        <f>TEXT(Table1[[#This Row],[Date]],"mmm")</f>
        <v>Jan</v>
      </c>
      <c r="K16" s="3">
        <f>YEAR(Table1[[#This Row],[Date]])</f>
        <v>2024</v>
      </c>
      <c r="L16" s="6">
        <f>Table1[[#This Row],[Revenue]]/Table1[[#This Row],[Target]]</f>
        <v>1.1845534233593935</v>
      </c>
      <c r="M16" s="3" t="str">
        <f>IF(Table1[[#This Row],[Achieved %]]&gt;1,"▲","▼")</f>
        <v>▲</v>
      </c>
    </row>
    <row r="17" spans="1:13" x14ac:dyDescent="0.25">
      <c r="A17" s="5">
        <v>45307</v>
      </c>
      <c r="B17" s="3" t="s">
        <v>18</v>
      </c>
      <c r="C17" s="3" t="s">
        <v>22</v>
      </c>
      <c r="D17" s="3" t="s">
        <v>14</v>
      </c>
      <c r="E17" s="3" t="str">
        <f>VLOOKUP(Table1[[#This Row],[Product]],Master!A:C,2,FALSE)</f>
        <v>Office</v>
      </c>
      <c r="F17" s="3">
        <f>VLOOKUP(Table1[[#This Row],[Product]],Master!A:C,3,FALSE)</f>
        <v>15000</v>
      </c>
      <c r="G17" s="3">
        <v>5</v>
      </c>
      <c r="H17" s="3">
        <v>75000</v>
      </c>
      <c r="I17" s="3">
        <v>93019</v>
      </c>
      <c r="J17" s="3" t="str">
        <f>TEXT(Table1[[#This Row],[Date]],"mmm")</f>
        <v>Jan</v>
      </c>
      <c r="K17" s="3">
        <f>YEAR(Table1[[#This Row],[Date]])</f>
        <v>2024</v>
      </c>
      <c r="L17" s="6">
        <f>Table1[[#This Row],[Revenue]]/Table1[[#This Row],[Target]]</f>
        <v>0.80628688762510881</v>
      </c>
      <c r="M17" s="3" t="str">
        <f>IF(Table1[[#This Row],[Achieved %]]&gt;1,"▲","▼")</f>
        <v>▼</v>
      </c>
    </row>
    <row r="18" spans="1:13" x14ac:dyDescent="0.25">
      <c r="A18" s="5">
        <v>45308</v>
      </c>
      <c r="B18" s="3" t="s">
        <v>8</v>
      </c>
      <c r="C18" s="3" t="s">
        <v>22</v>
      </c>
      <c r="D18" s="3" t="s">
        <v>10</v>
      </c>
      <c r="E18" s="3" t="str">
        <f>VLOOKUP(Table1[[#This Row],[Product]],Master!A:C,2,FALSE)</f>
        <v>Electronics</v>
      </c>
      <c r="F18" s="3">
        <f>VLOOKUP(Table1[[#This Row],[Product]],Master!A:C,3,FALSE)</f>
        <v>50000</v>
      </c>
      <c r="G18" s="3">
        <v>9</v>
      </c>
      <c r="H18" s="3">
        <v>450000</v>
      </c>
      <c r="I18" s="3">
        <v>433918</v>
      </c>
      <c r="J18" s="3" t="str">
        <f>TEXT(Table1[[#This Row],[Date]],"mmm")</f>
        <v>Jan</v>
      </c>
      <c r="K18" s="3">
        <f>YEAR(Table1[[#This Row],[Date]])</f>
        <v>2024</v>
      </c>
      <c r="L18" s="6">
        <f>Table1[[#This Row],[Revenue]]/Table1[[#This Row],[Target]]</f>
        <v>1.037062302093944</v>
      </c>
      <c r="M18" s="3" t="str">
        <f>IF(Table1[[#This Row],[Achieved %]]&gt;1,"▲","▼")</f>
        <v>▲</v>
      </c>
    </row>
    <row r="19" spans="1:13" x14ac:dyDescent="0.25">
      <c r="A19" s="5">
        <v>45309</v>
      </c>
      <c r="B19" s="3" t="s">
        <v>16</v>
      </c>
      <c r="C19" s="3" t="s">
        <v>13</v>
      </c>
      <c r="D19" s="3" t="s">
        <v>14</v>
      </c>
      <c r="E19" s="3" t="str">
        <f>VLOOKUP(Table1[[#This Row],[Product]],Master!A:C,2,FALSE)</f>
        <v>Office</v>
      </c>
      <c r="F19" s="3">
        <f>VLOOKUP(Table1[[#This Row],[Product]],Master!A:C,3,FALSE)</f>
        <v>15000</v>
      </c>
      <c r="G19" s="3">
        <v>8</v>
      </c>
      <c r="H19" s="3">
        <v>120000</v>
      </c>
      <c r="I19" s="3">
        <v>135725</v>
      </c>
      <c r="J19" s="3" t="str">
        <f>TEXT(Table1[[#This Row],[Date]],"mmm")</f>
        <v>Jan</v>
      </c>
      <c r="K19" s="3">
        <f>YEAR(Table1[[#This Row],[Date]])</f>
        <v>2024</v>
      </c>
      <c r="L19" s="6">
        <f>Table1[[#This Row],[Revenue]]/Table1[[#This Row],[Target]]</f>
        <v>0.88414072573217906</v>
      </c>
      <c r="M19" s="3" t="str">
        <f>IF(Table1[[#This Row],[Achieved %]]&gt;1,"▲","▼")</f>
        <v>▼</v>
      </c>
    </row>
    <row r="20" spans="1:13" x14ac:dyDescent="0.25">
      <c r="A20" s="5">
        <v>45310</v>
      </c>
      <c r="B20" s="3" t="s">
        <v>8</v>
      </c>
      <c r="C20" s="3" t="s">
        <v>13</v>
      </c>
      <c r="D20" s="3" t="s">
        <v>17</v>
      </c>
      <c r="E20" s="3" t="str">
        <f>VLOOKUP(Table1[[#This Row],[Product]],Master!A:C,2,FALSE)</f>
        <v>Electronics</v>
      </c>
      <c r="F20" s="3">
        <f>VLOOKUP(Table1[[#This Row],[Product]],Master!A:C,3,FALSE)</f>
        <v>20000</v>
      </c>
      <c r="G20" s="3">
        <v>6</v>
      </c>
      <c r="H20" s="3">
        <v>120000</v>
      </c>
      <c r="I20" s="3">
        <v>114505</v>
      </c>
      <c r="J20" s="3" t="str">
        <f>TEXT(Table1[[#This Row],[Date]],"mmm")</f>
        <v>Jan</v>
      </c>
      <c r="K20" s="3">
        <f>YEAR(Table1[[#This Row],[Date]])</f>
        <v>2024</v>
      </c>
      <c r="L20" s="6">
        <f>Table1[[#This Row],[Revenue]]/Table1[[#This Row],[Target]]</f>
        <v>1.0479891707785687</v>
      </c>
      <c r="M20" s="3" t="str">
        <f>IF(Table1[[#This Row],[Achieved %]]&gt;1,"▲","▼")</f>
        <v>▲</v>
      </c>
    </row>
    <row r="21" spans="1:13" x14ac:dyDescent="0.25">
      <c r="A21" s="5">
        <v>45311</v>
      </c>
      <c r="B21" s="3" t="s">
        <v>18</v>
      </c>
      <c r="C21" s="3" t="s">
        <v>9</v>
      </c>
      <c r="D21" s="3" t="s">
        <v>14</v>
      </c>
      <c r="E21" s="3" t="str">
        <f>VLOOKUP(Table1[[#This Row],[Product]],Master!A:C,2,FALSE)</f>
        <v>Office</v>
      </c>
      <c r="F21" s="3">
        <f>VLOOKUP(Table1[[#This Row],[Product]],Master!A:C,3,FALSE)</f>
        <v>15000</v>
      </c>
      <c r="G21" s="3">
        <v>6</v>
      </c>
      <c r="H21" s="3">
        <v>90000</v>
      </c>
      <c r="I21" s="3">
        <v>98254</v>
      </c>
      <c r="J21" s="3" t="str">
        <f>TEXT(Table1[[#This Row],[Date]],"mmm")</f>
        <v>Jan</v>
      </c>
      <c r="K21" s="3">
        <f>YEAR(Table1[[#This Row],[Date]])</f>
        <v>2024</v>
      </c>
      <c r="L21" s="6">
        <f>Table1[[#This Row],[Revenue]]/Table1[[#This Row],[Target]]</f>
        <v>0.91599324200541454</v>
      </c>
      <c r="M21" s="3" t="str">
        <f>IF(Table1[[#This Row],[Achieved %]]&gt;1,"▲","▼")</f>
        <v>▼</v>
      </c>
    </row>
    <row r="22" spans="1:13" x14ac:dyDescent="0.25">
      <c r="A22" s="5">
        <v>45312</v>
      </c>
      <c r="B22" s="3" t="s">
        <v>16</v>
      </c>
      <c r="C22" s="3" t="s">
        <v>19</v>
      </c>
      <c r="D22" s="3" t="s">
        <v>21</v>
      </c>
      <c r="E22" s="3" t="str">
        <f>VLOOKUP(Table1[[#This Row],[Product]],Master!A:C,2,FALSE)</f>
        <v>Electronics</v>
      </c>
      <c r="F22" s="3">
        <f>VLOOKUP(Table1[[#This Row],[Product]],Master!A:C,3,FALSE)</f>
        <v>30000</v>
      </c>
      <c r="G22" s="3">
        <v>5</v>
      </c>
      <c r="H22" s="3">
        <v>150000</v>
      </c>
      <c r="I22" s="3">
        <v>155392</v>
      </c>
      <c r="J22" s="3" t="str">
        <f>TEXT(Table1[[#This Row],[Date]],"mmm")</f>
        <v>Jan</v>
      </c>
      <c r="K22" s="3">
        <f>YEAR(Table1[[#This Row],[Date]])</f>
        <v>2024</v>
      </c>
      <c r="L22" s="6">
        <f>Table1[[#This Row],[Revenue]]/Table1[[#This Row],[Target]]</f>
        <v>0.96530065897858319</v>
      </c>
      <c r="M22" s="3" t="str">
        <f>IF(Table1[[#This Row],[Achieved %]]&gt;1,"▲","▼")</f>
        <v>▼</v>
      </c>
    </row>
    <row r="23" spans="1:13" x14ac:dyDescent="0.25">
      <c r="A23" s="5">
        <v>45313</v>
      </c>
      <c r="B23" s="3" t="s">
        <v>16</v>
      </c>
      <c r="C23" s="3" t="s">
        <v>9</v>
      </c>
      <c r="D23" s="3" t="s">
        <v>21</v>
      </c>
      <c r="E23" s="3" t="str">
        <f>VLOOKUP(Table1[[#This Row],[Product]],Master!A:C,2,FALSE)</f>
        <v>Electronics</v>
      </c>
      <c r="F23" s="3">
        <f>VLOOKUP(Table1[[#This Row],[Product]],Master!A:C,3,FALSE)</f>
        <v>30000</v>
      </c>
      <c r="G23" s="3">
        <v>1</v>
      </c>
      <c r="H23" s="3">
        <v>30000</v>
      </c>
      <c r="I23" s="3">
        <v>20215</v>
      </c>
      <c r="J23" s="3" t="str">
        <f>TEXT(Table1[[#This Row],[Date]],"mmm")</f>
        <v>Jan</v>
      </c>
      <c r="K23" s="3">
        <f>YEAR(Table1[[#This Row],[Date]])</f>
        <v>2024</v>
      </c>
      <c r="L23" s="6">
        <f>Table1[[#This Row],[Revenue]]/Table1[[#This Row],[Target]]</f>
        <v>1.4840465001236705</v>
      </c>
      <c r="M23" s="3" t="str">
        <f>IF(Table1[[#This Row],[Achieved %]]&gt;1,"▲","▼")</f>
        <v>▲</v>
      </c>
    </row>
    <row r="24" spans="1:13" x14ac:dyDescent="0.25">
      <c r="A24" s="5">
        <v>45314</v>
      </c>
      <c r="B24" s="3" t="s">
        <v>8</v>
      </c>
      <c r="C24" s="3" t="s">
        <v>20</v>
      </c>
      <c r="D24" s="3" t="s">
        <v>14</v>
      </c>
      <c r="E24" s="3" t="str">
        <f>VLOOKUP(Table1[[#This Row],[Product]],Master!A:C,2,FALSE)</f>
        <v>Office</v>
      </c>
      <c r="F24" s="3">
        <f>VLOOKUP(Table1[[#This Row],[Product]],Master!A:C,3,FALSE)</f>
        <v>15000</v>
      </c>
      <c r="G24" s="3">
        <v>1</v>
      </c>
      <c r="H24" s="3">
        <v>15000</v>
      </c>
      <c r="I24" s="3">
        <v>-2582</v>
      </c>
      <c r="J24" s="3" t="str">
        <f>TEXT(Table1[[#This Row],[Date]],"mmm")</f>
        <v>Jan</v>
      </c>
      <c r="K24" s="3">
        <f>YEAR(Table1[[#This Row],[Date]])</f>
        <v>2024</v>
      </c>
      <c r="L24" s="6">
        <f>Table1[[#This Row],[Revenue]]/Table1[[#This Row],[Target]]</f>
        <v>-5.8094500387296666</v>
      </c>
      <c r="M24" s="3" t="str">
        <f>IF(Table1[[#This Row],[Achieved %]]&gt;1,"▲","▼")</f>
        <v>▼</v>
      </c>
    </row>
    <row r="25" spans="1:13" x14ac:dyDescent="0.25">
      <c r="A25" s="5">
        <v>45315</v>
      </c>
      <c r="B25" s="3" t="s">
        <v>12</v>
      </c>
      <c r="C25" s="3" t="s">
        <v>19</v>
      </c>
      <c r="D25" s="3" t="s">
        <v>14</v>
      </c>
      <c r="E25" s="3" t="str">
        <f>VLOOKUP(Table1[[#This Row],[Product]],Master!A:C,2,FALSE)</f>
        <v>Office</v>
      </c>
      <c r="F25" s="3">
        <f>VLOOKUP(Table1[[#This Row],[Product]],Master!A:C,3,FALSE)</f>
        <v>15000</v>
      </c>
      <c r="G25" s="3">
        <v>8</v>
      </c>
      <c r="H25" s="3">
        <v>120000</v>
      </c>
      <c r="I25" s="3">
        <v>106521</v>
      </c>
      <c r="J25" s="3" t="str">
        <f>TEXT(Table1[[#This Row],[Date]],"mmm")</f>
        <v>Jan</v>
      </c>
      <c r="K25" s="3">
        <f>YEAR(Table1[[#This Row],[Date]])</f>
        <v>2024</v>
      </c>
      <c r="L25" s="6">
        <f>Table1[[#This Row],[Revenue]]/Table1[[#This Row],[Target]]</f>
        <v>1.1265384290421607</v>
      </c>
      <c r="M25" s="3" t="str">
        <f>IF(Table1[[#This Row],[Achieved %]]&gt;1,"▲","▼")</f>
        <v>▲</v>
      </c>
    </row>
    <row r="26" spans="1:13" x14ac:dyDescent="0.25">
      <c r="A26" s="5">
        <v>45316</v>
      </c>
      <c r="B26" s="3" t="s">
        <v>8</v>
      </c>
      <c r="C26" s="3" t="s">
        <v>22</v>
      </c>
      <c r="D26" s="3" t="s">
        <v>21</v>
      </c>
      <c r="E26" s="3" t="str">
        <f>VLOOKUP(Table1[[#This Row],[Product]],Master!A:C,2,FALSE)</f>
        <v>Electronics</v>
      </c>
      <c r="F26" s="3">
        <f>VLOOKUP(Table1[[#This Row],[Product]],Master!A:C,3,FALSE)</f>
        <v>30000</v>
      </c>
      <c r="G26" s="3">
        <v>4</v>
      </c>
      <c r="H26" s="3">
        <v>120000</v>
      </c>
      <c r="I26" s="3">
        <v>114254</v>
      </c>
      <c r="J26" s="3" t="str">
        <f>TEXT(Table1[[#This Row],[Date]],"mmm")</f>
        <v>Jan</v>
      </c>
      <c r="K26" s="3">
        <f>YEAR(Table1[[#This Row],[Date]])</f>
        <v>2024</v>
      </c>
      <c r="L26" s="6">
        <f>Table1[[#This Row],[Revenue]]/Table1[[#This Row],[Target]]</f>
        <v>1.0502914558790064</v>
      </c>
      <c r="M26" s="3" t="str">
        <f>IF(Table1[[#This Row],[Achieved %]]&gt;1,"▲","▼")</f>
        <v>▲</v>
      </c>
    </row>
    <row r="27" spans="1:13" x14ac:dyDescent="0.25">
      <c r="A27" s="5">
        <v>45317</v>
      </c>
      <c r="B27" s="3" t="s">
        <v>12</v>
      </c>
      <c r="C27" s="3" t="s">
        <v>9</v>
      </c>
      <c r="D27" s="3" t="s">
        <v>17</v>
      </c>
      <c r="E27" s="3" t="str">
        <f>VLOOKUP(Table1[[#This Row],[Product]],Master!A:C,2,FALSE)</f>
        <v>Electronics</v>
      </c>
      <c r="F27" s="3">
        <f>VLOOKUP(Table1[[#This Row],[Product]],Master!A:C,3,FALSE)</f>
        <v>20000</v>
      </c>
      <c r="G27" s="3">
        <v>3</v>
      </c>
      <c r="H27" s="3">
        <v>60000</v>
      </c>
      <c r="I27" s="3">
        <v>78299</v>
      </c>
      <c r="J27" s="3" t="str">
        <f>TEXT(Table1[[#This Row],[Date]],"mmm")</f>
        <v>Jan</v>
      </c>
      <c r="K27" s="3">
        <f>YEAR(Table1[[#This Row],[Date]])</f>
        <v>2024</v>
      </c>
      <c r="L27" s="6">
        <f>Table1[[#This Row],[Revenue]]/Table1[[#This Row],[Target]]</f>
        <v>0.76629331153654578</v>
      </c>
      <c r="M27" s="3" t="str">
        <f>IF(Table1[[#This Row],[Achieved %]]&gt;1,"▲","▼")</f>
        <v>▼</v>
      </c>
    </row>
    <row r="28" spans="1:13" x14ac:dyDescent="0.25">
      <c r="A28" s="5">
        <v>45318</v>
      </c>
      <c r="B28" s="3" t="s">
        <v>12</v>
      </c>
      <c r="C28" s="3" t="s">
        <v>19</v>
      </c>
      <c r="D28" s="3" t="s">
        <v>21</v>
      </c>
      <c r="E28" s="3" t="str">
        <f>VLOOKUP(Table1[[#This Row],[Product]],Master!A:C,2,FALSE)</f>
        <v>Electronics</v>
      </c>
      <c r="F28" s="3">
        <f>VLOOKUP(Table1[[#This Row],[Product]],Master!A:C,3,FALSE)</f>
        <v>30000</v>
      </c>
      <c r="G28" s="3">
        <v>2</v>
      </c>
      <c r="H28" s="3">
        <v>60000</v>
      </c>
      <c r="I28" s="3">
        <v>63306</v>
      </c>
      <c r="J28" s="3" t="str">
        <f>TEXT(Table1[[#This Row],[Date]],"mmm")</f>
        <v>Jan</v>
      </c>
      <c r="K28" s="3">
        <f>YEAR(Table1[[#This Row],[Date]])</f>
        <v>2024</v>
      </c>
      <c r="L28" s="6">
        <f>Table1[[#This Row],[Revenue]]/Table1[[#This Row],[Target]]</f>
        <v>0.94777746185195721</v>
      </c>
      <c r="M28" s="3" t="str">
        <f>IF(Table1[[#This Row],[Achieved %]]&gt;1,"▲","▼")</f>
        <v>▼</v>
      </c>
    </row>
    <row r="29" spans="1:13" x14ac:dyDescent="0.25">
      <c r="A29" s="5">
        <v>45319</v>
      </c>
      <c r="B29" s="3" t="s">
        <v>18</v>
      </c>
      <c r="C29" s="3" t="s">
        <v>13</v>
      </c>
      <c r="D29" s="3" t="s">
        <v>10</v>
      </c>
      <c r="E29" s="3" t="str">
        <f>VLOOKUP(Table1[[#This Row],[Product]],Master!A:C,2,FALSE)</f>
        <v>Electronics</v>
      </c>
      <c r="F29" s="3">
        <f>VLOOKUP(Table1[[#This Row],[Product]],Master!A:C,3,FALSE)</f>
        <v>50000</v>
      </c>
      <c r="G29" s="3">
        <v>3</v>
      </c>
      <c r="H29" s="3">
        <v>150000</v>
      </c>
      <c r="I29" s="3">
        <v>163075</v>
      </c>
      <c r="J29" s="3" t="str">
        <f>TEXT(Table1[[#This Row],[Date]],"mmm")</f>
        <v>Jan</v>
      </c>
      <c r="K29" s="3">
        <f>YEAR(Table1[[#This Row],[Date]])</f>
        <v>2024</v>
      </c>
      <c r="L29" s="6">
        <f>Table1[[#This Row],[Revenue]]/Table1[[#This Row],[Target]]</f>
        <v>0.91982216771424197</v>
      </c>
      <c r="M29" s="3" t="str">
        <f>IF(Table1[[#This Row],[Achieved %]]&gt;1,"▲","▼")</f>
        <v>▼</v>
      </c>
    </row>
    <row r="30" spans="1:13" x14ac:dyDescent="0.25">
      <c r="A30" s="5">
        <v>45320</v>
      </c>
      <c r="B30" s="3" t="s">
        <v>8</v>
      </c>
      <c r="C30" s="3" t="s">
        <v>20</v>
      </c>
      <c r="D30" s="3" t="s">
        <v>21</v>
      </c>
      <c r="E30" s="3" t="str">
        <f>VLOOKUP(Table1[[#This Row],[Product]],Master!A:C,2,FALSE)</f>
        <v>Electronics</v>
      </c>
      <c r="F30" s="3">
        <f>VLOOKUP(Table1[[#This Row],[Product]],Master!A:C,3,FALSE)</f>
        <v>30000</v>
      </c>
      <c r="G30" s="3">
        <v>1</v>
      </c>
      <c r="H30" s="3">
        <v>30000</v>
      </c>
      <c r="I30" s="3">
        <v>33334</v>
      </c>
      <c r="J30" s="3" t="str">
        <f>TEXT(Table1[[#This Row],[Date]],"mmm")</f>
        <v>Jan</v>
      </c>
      <c r="K30" s="3">
        <f>YEAR(Table1[[#This Row],[Date]])</f>
        <v>2024</v>
      </c>
      <c r="L30" s="6">
        <f>Table1[[#This Row],[Revenue]]/Table1[[#This Row],[Target]]</f>
        <v>0.89998200035999276</v>
      </c>
      <c r="M30" s="3" t="str">
        <f>IF(Table1[[#This Row],[Achieved %]]&gt;1,"▲","▼")</f>
        <v>▼</v>
      </c>
    </row>
    <row r="31" spans="1:13" x14ac:dyDescent="0.25">
      <c r="A31" s="5">
        <v>45321</v>
      </c>
      <c r="B31" s="3" t="s">
        <v>18</v>
      </c>
      <c r="C31" s="3" t="s">
        <v>13</v>
      </c>
      <c r="D31" s="3" t="s">
        <v>14</v>
      </c>
      <c r="E31" s="3" t="str">
        <f>VLOOKUP(Table1[[#This Row],[Product]],Master!A:C,2,FALSE)</f>
        <v>Office</v>
      </c>
      <c r="F31" s="3">
        <f>VLOOKUP(Table1[[#This Row],[Product]],Master!A:C,3,FALSE)</f>
        <v>15000</v>
      </c>
      <c r="G31" s="3">
        <v>9</v>
      </c>
      <c r="H31" s="3">
        <v>135000</v>
      </c>
      <c r="I31" s="3">
        <v>150260</v>
      </c>
      <c r="J31" s="3" t="str">
        <f>TEXT(Table1[[#This Row],[Date]],"mmm")</f>
        <v>Jan</v>
      </c>
      <c r="K31" s="3">
        <f>YEAR(Table1[[#This Row],[Date]])</f>
        <v>2024</v>
      </c>
      <c r="L31" s="6">
        <f>Table1[[#This Row],[Revenue]]/Table1[[#This Row],[Target]]</f>
        <v>0.8984426993211766</v>
      </c>
      <c r="M31" s="3" t="str">
        <f>IF(Table1[[#This Row],[Achieved %]]&gt;1,"▲","▼")</f>
        <v>▼</v>
      </c>
    </row>
    <row r="32" spans="1:13" x14ac:dyDescent="0.25">
      <c r="A32" s="5">
        <v>45322</v>
      </c>
      <c r="B32" s="3" t="s">
        <v>12</v>
      </c>
      <c r="C32" s="3" t="s">
        <v>20</v>
      </c>
      <c r="D32" s="3" t="s">
        <v>17</v>
      </c>
      <c r="E32" s="3" t="str">
        <f>VLOOKUP(Table1[[#This Row],[Product]],Master!A:C,2,FALSE)</f>
        <v>Electronics</v>
      </c>
      <c r="F32" s="3">
        <f>VLOOKUP(Table1[[#This Row],[Product]],Master!A:C,3,FALSE)</f>
        <v>20000</v>
      </c>
      <c r="G32" s="3">
        <v>3</v>
      </c>
      <c r="H32" s="3">
        <v>60000</v>
      </c>
      <c r="I32" s="3">
        <v>55875</v>
      </c>
      <c r="J32" s="3" t="str">
        <f>TEXT(Table1[[#This Row],[Date]],"mmm")</f>
        <v>Jan</v>
      </c>
      <c r="K32" s="3">
        <f>YEAR(Table1[[#This Row],[Date]])</f>
        <v>2024</v>
      </c>
      <c r="L32" s="6">
        <f>Table1[[#This Row],[Revenue]]/Table1[[#This Row],[Target]]</f>
        <v>1.0738255033557047</v>
      </c>
      <c r="M32" s="3" t="str">
        <f>IF(Table1[[#This Row],[Achieved %]]&gt;1,"▲","▼")</f>
        <v>▲</v>
      </c>
    </row>
    <row r="33" spans="1:13" x14ac:dyDescent="0.25">
      <c r="A33" s="5">
        <v>45323</v>
      </c>
      <c r="B33" s="3" t="s">
        <v>18</v>
      </c>
      <c r="C33" s="3" t="s">
        <v>19</v>
      </c>
      <c r="D33" s="3" t="s">
        <v>14</v>
      </c>
      <c r="E33" s="3" t="str">
        <f>VLOOKUP(Table1[[#This Row],[Product]],Master!A:C,2,FALSE)</f>
        <v>Office</v>
      </c>
      <c r="F33" s="3">
        <f>VLOOKUP(Table1[[#This Row],[Product]],Master!A:C,3,FALSE)</f>
        <v>15000</v>
      </c>
      <c r="G33" s="3">
        <v>1</v>
      </c>
      <c r="H33" s="3">
        <v>15000</v>
      </c>
      <c r="I33" s="3">
        <v>13728</v>
      </c>
      <c r="J33" s="3" t="str">
        <f>TEXT(Table1[[#This Row],[Date]],"mmm")</f>
        <v>Feb</v>
      </c>
      <c r="K33" s="3">
        <f>YEAR(Table1[[#This Row],[Date]])</f>
        <v>2024</v>
      </c>
      <c r="L33" s="6">
        <f>Table1[[#This Row],[Revenue]]/Table1[[#This Row],[Target]]</f>
        <v>1.0926573426573427</v>
      </c>
      <c r="M33" s="3" t="str">
        <f>IF(Table1[[#This Row],[Achieved %]]&gt;1,"▲","▼")</f>
        <v>▲</v>
      </c>
    </row>
    <row r="34" spans="1:13" x14ac:dyDescent="0.25">
      <c r="A34" s="5">
        <v>45324</v>
      </c>
      <c r="B34" s="3" t="s">
        <v>18</v>
      </c>
      <c r="C34" s="3" t="s">
        <v>22</v>
      </c>
      <c r="D34" s="3" t="s">
        <v>14</v>
      </c>
      <c r="E34" s="3" t="str">
        <f>VLOOKUP(Table1[[#This Row],[Product]],Master!A:C,2,FALSE)</f>
        <v>Office</v>
      </c>
      <c r="F34" s="3">
        <f>VLOOKUP(Table1[[#This Row],[Product]],Master!A:C,3,FALSE)</f>
        <v>15000</v>
      </c>
      <c r="G34" s="3">
        <v>9</v>
      </c>
      <c r="H34" s="3">
        <v>135000</v>
      </c>
      <c r="I34" s="3">
        <v>121594</v>
      </c>
      <c r="J34" s="3" t="str">
        <f>TEXT(Table1[[#This Row],[Date]],"mmm")</f>
        <v>Feb</v>
      </c>
      <c r="K34" s="3">
        <f>YEAR(Table1[[#This Row],[Date]])</f>
        <v>2024</v>
      </c>
      <c r="L34" s="6">
        <f>Table1[[#This Row],[Revenue]]/Table1[[#This Row],[Target]]</f>
        <v>1.1102521505995362</v>
      </c>
      <c r="M34" s="3" t="str">
        <f>IF(Table1[[#This Row],[Achieved %]]&gt;1,"▲","▼")</f>
        <v>▲</v>
      </c>
    </row>
    <row r="35" spans="1:13" x14ac:dyDescent="0.25">
      <c r="A35" s="5">
        <v>45325</v>
      </c>
      <c r="B35" s="3" t="s">
        <v>8</v>
      </c>
      <c r="C35" s="3" t="s">
        <v>19</v>
      </c>
      <c r="D35" s="3" t="s">
        <v>14</v>
      </c>
      <c r="E35" s="3" t="str">
        <f>VLOOKUP(Table1[[#This Row],[Product]],Master!A:C,2,FALSE)</f>
        <v>Office</v>
      </c>
      <c r="F35" s="3">
        <f>VLOOKUP(Table1[[#This Row],[Product]],Master!A:C,3,FALSE)</f>
        <v>15000</v>
      </c>
      <c r="G35" s="3">
        <v>1</v>
      </c>
      <c r="H35" s="3">
        <v>15000</v>
      </c>
      <c r="I35" s="3">
        <v>10620</v>
      </c>
      <c r="J35" s="3" t="str">
        <f>TEXT(Table1[[#This Row],[Date]],"mmm")</f>
        <v>Feb</v>
      </c>
      <c r="K35" s="3">
        <f>YEAR(Table1[[#This Row],[Date]])</f>
        <v>2024</v>
      </c>
      <c r="L35" s="6">
        <f>Table1[[#This Row],[Revenue]]/Table1[[#This Row],[Target]]</f>
        <v>1.4124293785310735</v>
      </c>
      <c r="M35" s="3" t="str">
        <f>IF(Table1[[#This Row],[Achieved %]]&gt;1,"▲","▼")</f>
        <v>▲</v>
      </c>
    </row>
    <row r="36" spans="1:13" x14ac:dyDescent="0.25">
      <c r="A36" s="5">
        <v>45326</v>
      </c>
      <c r="B36" s="3" t="s">
        <v>16</v>
      </c>
      <c r="C36" s="3" t="s">
        <v>19</v>
      </c>
      <c r="D36" s="3" t="s">
        <v>10</v>
      </c>
      <c r="E36" s="3" t="str">
        <f>VLOOKUP(Table1[[#This Row],[Product]],Master!A:C,2,FALSE)</f>
        <v>Electronics</v>
      </c>
      <c r="F36" s="3">
        <f>VLOOKUP(Table1[[#This Row],[Product]],Master!A:C,3,FALSE)</f>
        <v>50000</v>
      </c>
      <c r="G36" s="3">
        <v>7</v>
      </c>
      <c r="H36" s="3">
        <v>350000</v>
      </c>
      <c r="I36" s="3">
        <v>333533</v>
      </c>
      <c r="J36" s="3" t="str">
        <f>TEXT(Table1[[#This Row],[Date]],"mmm")</f>
        <v>Feb</v>
      </c>
      <c r="K36" s="3">
        <f>YEAR(Table1[[#This Row],[Date]])</f>
        <v>2024</v>
      </c>
      <c r="L36" s="6">
        <f>Table1[[#This Row],[Revenue]]/Table1[[#This Row],[Target]]</f>
        <v>1.0493714265155172</v>
      </c>
      <c r="M36" s="3" t="str">
        <f>IF(Table1[[#This Row],[Achieved %]]&gt;1,"▲","▼")</f>
        <v>▲</v>
      </c>
    </row>
    <row r="37" spans="1:13" x14ac:dyDescent="0.25">
      <c r="A37" s="5">
        <v>45327</v>
      </c>
      <c r="B37" s="3" t="s">
        <v>16</v>
      </c>
      <c r="C37" s="3" t="s">
        <v>9</v>
      </c>
      <c r="D37" s="3" t="s">
        <v>10</v>
      </c>
      <c r="E37" s="3" t="str">
        <f>VLOOKUP(Table1[[#This Row],[Product]],Master!A:C,2,FALSE)</f>
        <v>Electronics</v>
      </c>
      <c r="F37" s="3">
        <f>VLOOKUP(Table1[[#This Row],[Product]],Master!A:C,3,FALSE)</f>
        <v>50000</v>
      </c>
      <c r="G37" s="3">
        <v>1</v>
      </c>
      <c r="H37" s="3">
        <v>50000</v>
      </c>
      <c r="I37" s="3">
        <v>49608</v>
      </c>
      <c r="J37" s="3" t="str">
        <f>TEXT(Table1[[#This Row],[Date]],"mmm")</f>
        <v>Feb</v>
      </c>
      <c r="K37" s="3">
        <f>YEAR(Table1[[#This Row],[Date]])</f>
        <v>2024</v>
      </c>
      <c r="L37" s="6">
        <f>Table1[[#This Row],[Revenue]]/Table1[[#This Row],[Target]]</f>
        <v>1.0079019512981777</v>
      </c>
      <c r="M37" s="3" t="str">
        <f>IF(Table1[[#This Row],[Achieved %]]&gt;1,"▲","▼")</f>
        <v>▲</v>
      </c>
    </row>
    <row r="38" spans="1:13" x14ac:dyDescent="0.25">
      <c r="A38" s="5">
        <v>45328</v>
      </c>
      <c r="B38" s="3" t="s">
        <v>16</v>
      </c>
      <c r="C38" s="3" t="s">
        <v>19</v>
      </c>
      <c r="D38" s="3" t="s">
        <v>10</v>
      </c>
      <c r="E38" s="3" t="str">
        <f>VLOOKUP(Table1[[#This Row],[Product]],Master!A:C,2,FALSE)</f>
        <v>Electronics</v>
      </c>
      <c r="F38" s="3">
        <f>VLOOKUP(Table1[[#This Row],[Product]],Master!A:C,3,FALSE)</f>
        <v>50000</v>
      </c>
      <c r="G38" s="3">
        <v>7</v>
      </c>
      <c r="H38" s="3">
        <v>350000</v>
      </c>
      <c r="I38" s="3">
        <v>343429</v>
      </c>
      <c r="J38" s="3" t="str">
        <f>TEXT(Table1[[#This Row],[Date]],"mmm")</f>
        <v>Feb</v>
      </c>
      <c r="K38" s="3">
        <f>YEAR(Table1[[#This Row],[Date]])</f>
        <v>2024</v>
      </c>
      <c r="L38" s="6">
        <f>Table1[[#This Row],[Revenue]]/Table1[[#This Row],[Target]]</f>
        <v>1.0191335035771587</v>
      </c>
      <c r="M38" s="3" t="str">
        <f>IF(Table1[[#This Row],[Achieved %]]&gt;1,"▲","▼")</f>
        <v>▲</v>
      </c>
    </row>
    <row r="39" spans="1:13" x14ac:dyDescent="0.25">
      <c r="A39" s="5">
        <v>45329</v>
      </c>
      <c r="B39" s="3" t="s">
        <v>8</v>
      </c>
      <c r="C39" s="3" t="s">
        <v>19</v>
      </c>
      <c r="D39" s="3" t="s">
        <v>17</v>
      </c>
      <c r="E39" s="3" t="str">
        <f>VLOOKUP(Table1[[#This Row],[Product]],Master!A:C,2,FALSE)</f>
        <v>Electronics</v>
      </c>
      <c r="F39" s="3">
        <f>VLOOKUP(Table1[[#This Row],[Product]],Master!A:C,3,FALSE)</f>
        <v>20000</v>
      </c>
      <c r="G39" s="3">
        <v>9</v>
      </c>
      <c r="H39" s="3">
        <v>180000</v>
      </c>
      <c r="I39" s="3">
        <v>175588</v>
      </c>
      <c r="J39" s="3" t="str">
        <f>TEXT(Table1[[#This Row],[Date]],"mmm")</f>
        <v>Feb</v>
      </c>
      <c r="K39" s="3">
        <f>YEAR(Table1[[#This Row],[Date]])</f>
        <v>2024</v>
      </c>
      <c r="L39" s="6">
        <f>Table1[[#This Row],[Revenue]]/Table1[[#This Row],[Target]]</f>
        <v>1.0251270018452285</v>
      </c>
      <c r="M39" s="3" t="str">
        <f>IF(Table1[[#This Row],[Achieved %]]&gt;1,"▲","▼")</f>
        <v>▲</v>
      </c>
    </row>
    <row r="40" spans="1:13" x14ac:dyDescent="0.25">
      <c r="A40" s="5">
        <v>45330</v>
      </c>
      <c r="B40" s="3" t="s">
        <v>8</v>
      </c>
      <c r="C40" s="3" t="s">
        <v>13</v>
      </c>
      <c r="D40" s="3" t="s">
        <v>17</v>
      </c>
      <c r="E40" s="3" t="str">
        <f>VLOOKUP(Table1[[#This Row],[Product]],Master!A:C,2,FALSE)</f>
        <v>Electronics</v>
      </c>
      <c r="F40" s="3">
        <f>VLOOKUP(Table1[[#This Row],[Product]],Master!A:C,3,FALSE)</f>
        <v>20000</v>
      </c>
      <c r="G40" s="3">
        <v>7</v>
      </c>
      <c r="H40" s="3">
        <v>140000</v>
      </c>
      <c r="I40" s="3">
        <v>120469</v>
      </c>
      <c r="J40" s="3" t="str">
        <f>TEXT(Table1[[#This Row],[Date]],"mmm")</f>
        <v>Feb</v>
      </c>
      <c r="K40" s="3">
        <f>YEAR(Table1[[#This Row],[Date]])</f>
        <v>2024</v>
      </c>
      <c r="L40" s="6">
        <f>Table1[[#This Row],[Revenue]]/Table1[[#This Row],[Target]]</f>
        <v>1.1621246959798786</v>
      </c>
      <c r="M40" s="3" t="str">
        <f>IF(Table1[[#This Row],[Achieved %]]&gt;1,"▲","▼")</f>
        <v>▲</v>
      </c>
    </row>
    <row r="41" spans="1:13" x14ac:dyDescent="0.25">
      <c r="A41" s="5">
        <v>45331</v>
      </c>
      <c r="B41" s="3" t="s">
        <v>12</v>
      </c>
      <c r="C41" s="3" t="s">
        <v>19</v>
      </c>
      <c r="D41" s="3" t="s">
        <v>10</v>
      </c>
      <c r="E41" s="3" t="str">
        <f>VLOOKUP(Table1[[#This Row],[Product]],Master!A:C,2,FALSE)</f>
        <v>Electronics</v>
      </c>
      <c r="F41" s="3">
        <f>VLOOKUP(Table1[[#This Row],[Product]],Master!A:C,3,FALSE)</f>
        <v>50000</v>
      </c>
      <c r="G41" s="3">
        <v>3</v>
      </c>
      <c r="H41" s="3">
        <v>150000</v>
      </c>
      <c r="I41" s="3">
        <v>145912</v>
      </c>
      <c r="J41" s="3" t="str">
        <f>TEXT(Table1[[#This Row],[Date]],"mmm")</f>
        <v>Feb</v>
      </c>
      <c r="K41" s="3">
        <f>YEAR(Table1[[#This Row],[Date]])</f>
        <v>2024</v>
      </c>
      <c r="L41" s="6">
        <f>Table1[[#This Row],[Revenue]]/Table1[[#This Row],[Target]]</f>
        <v>1.0280168868907287</v>
      </c>
      <c r="M41" s="3" t="str">
        <f>IF(Table1[[#This Row],[Achieved %]]&gt;1,"▲","▼")</f>
        <v>▲</v>
      </c>
    </row>
    <row r="42" spans="1:13" x14ac:dyDescent="0.25">
      <c r="A42" s="5">
        <v>45332</v>
      </c>
      <c r="B42" s="3" t="s">
        <v>18</v>
      </c>
      <c r="C42" s="3" t="s">
        <v>13</v>
      </c>
      <c r="D42" s="3" t="s">
        <v>21</v>
      </c>
      <c r="E42" s="3" t="str">
        <f>VLOOKUP(Table1[[#This Row],[Product]],Master!A:C,2,FALSE)</f>
        <v>Electronics</v>
      </c>
      <c r="F42" s="3">
        <f>VLOOKUP(Table1[[#This Row],[Product]],Master!A:C,3,FALSE)</f>
        <v>30000</v>
      </c>
      <c r="G42" s="3">
        <v>2</v>
      </c>
      <c r="H42" s="3">
        <v>60000</v>
      </c>
      <c r="I42" s="3">
        <v>51052</v>
      </c>
      <c r="J42" s="3" t="str">
        <f>TEXT(Table1[[#This Row],[Date]],"mmm")</f>
        <v>Feb</v>
      </c>
      <c r="K42" s="3">
        <f>YEAR(Table1[[#This Row],[Date]])</f>
        <v>2024</v>
      </c>
      <c r="L42" s="6">
        <f>Table1[[#This Row],[Revenue]]/Table1[[#This Row],[Target]]</f>
        <v>1.1752722714095432</v>
      </c>
      <c r="M42" s="3" t="str">
        <f>IF(Table1[[#This Row],[Achieved %]]&gt;1,"▲","▼")</f>
        <v>▲</v>
      </c>
    </row>
    <row r="43" spans="1:13" x14ac:dyDescent="0.25">
      <c r="A43" s="5">
        <v>45333</v>
      </c>
      <c r="B43" s="3" t="s">
        <v>8</v>
      </c>
      <c r="C43" s="3" t="s">
        <v>20</v>
      </c>
      <c r="D43" s="3" t="s">
        <v>14</v>
      </c>
      <c r="E43" s="3" t="str">
        <f>VLOOKUP(Table1[[#This Row],[Product]],Master!A:C,2,FALSE)</f>
        <v>Office</v>
      </c>
      <c r="F43" s="3">
        <f>VLOOKUP(Table1[[#This Row],[Product]],Master!A:C,3,FALSE)</f>
        <v>15000</v>
      </c>
      <c r="G43" s="3">
        <v>3</v>
      </c>
      <c r="H43" s="3">
        <v>45000</v>
      </c>
      <c r="I43" s="3">
        <v>30103</v>
      </c>
      <c r="J43" s="3" t="str">
        <f>TEXT(Table1[[#This Row],[Date]],"mmm")</f>
        <v>Feb</v>
      </c>
      <c r="K43" s="3">
        <f>YEAR(Table1[[#This Row],[Date]])</f>
        <v>2024</v>
      </c>
      <c r="L43" s="6">
        <f>Table1[[#This Row],[Revenue]]/Table1[[#This Row],[Target]]</f>
        <v>1.4948676211673255</v>
      </c>
      <c r="M43" s="3" t="str">
        <f>IF(Table1[[#This Row],[Achieved %]]&gt;1,"▲","▼")</f>
        <v>▲</v>
      </c>
    </row>
    <row r="44" spans="1:13" x14ac:dyDescent="0.25">
      <c r="A44" s="5">
        <v>45334</v>
      </c>
      <c r="B44" s="3" t="s">
        <v>12</v>
      </c>
      <c r="C44" s="3" t="s">
        <v>19</v>
      </c>
      <c r="D44" s="3" t="s">
        <v>10</v>
      </c>
      <c r="E44" s="3" t="str">
        <f>VLOOKUP(Table1[[#This Row],[Product]],Master!A:C,2,FALSE)</f>
        <v>Electronics</v>
      </c>
      <c r="F44" s="3">
        <f>VLOOKUP(Table1[[#This Row],[Product]],Master!A:C,3,FALSE)</f>
        <v>50000</v>
      </c>
      <c r="G44" s="3">
        <v>7</v>
      </c>
      <c r="H44" s="3">
        <v>350000</v>
      </c>
      <c r="I44" s="3">
        <v>342579</v>
      </c>
      <c r="J44" s="3" t="str">
        <f>TEXT(Table1[[#This Row],[Date]],"mmm")</f>
        <v>Feb</v>
      </c>
      <c r="K44" s="3">
        <f>YEAR(Table1[[#This Row],[Date]])</f>
        <v>2024</v>
      </c>
      <c r="L44" s="6">
        <f>Table1[[#This Row],[Revenue]]/Table1[[#This Row],[Target]]</f>
        <v>1.0216621567580033</v>
      </c>
      <c r="M44" s="3" t="str">
        <f>IF(Table1[[#This Row],[Achieved %]]&gt;1,"▲","▼")</f>
        <v>▲</v>
      </c>
    </row>
    <row r="45" spans="1:13" x14ac:dyDescent="0.25">
      <c r="A45" s="5">
        <v>45335</v>
      </c>
      <c r="B45" s="3" t="s">
        <v>12</v>
      </c>
      <c r="C45" s="3" t="s">
        <v>19</v>
      </c>
      <c r="D45" s="3" t="s">
        <v>10</v>
      </c>
      <c r="E45" s="3" t="str">
        <f>VLOOKUP(Table1[[#This Row],[Product]],Master!A:C,2,FALSE)</f>
        <v>Electronics</v>
      </c>
      <c r="F45" s="3">
        <f>VLOOKUP(Table1[[#This Row],[Product]],Master!A:C,3,FALSE)</f>
        <v>50000</v>
      </c>
      <c r="G45" s="3">
        <v>9</v>
      </c>
      <c r="H45" s="3">
        <v>450000</v>
      </c>
      <c r="I45" s="3">
        <v>436356</v>
      </c>
      <c r="J45" s="3" t="str">
        <f>TEXT(Table1[[#This Row],[Date]],"mmm")</f>
        <v>Feb</v>
      </c>
      <c r="K45" s="3">
        <f>YEAR(Table1[[#This Row],[Date]])</f>
        <v>2024</v>
      </c>
      <c r="L45" s="6">
        <f>Table1[[#This Row],[Revenue]]/Table1[[#This Row],[Target]]</f>
        <v>1.0312680471908258</v>
      </c>
      <c r="M45" s="3" t="str">
        <f>IF(Table1[[#This Row],[Achieved %]]&gt;1,"▲","▼")</f>
        <v>▲</v>
      </c>
    </row>
    <row r="46" spans="1:13" x14ac:dyDescent="0.25">
      <c r="A46" s="5">
        <v>45336</v>
      </c>
      <c r="B46" s="3" t="s">
        <v>8</v>
      </c>
      <c r="C46" s="3" t="s">
        <v>19</v>
      </c>
      <c r="D46" s="3" t="s">
        <v>17</v>
      </c>
      <c r="E46" s="3" t="str">
        <f>VLOOKUP(Table1[[#This Row],[Product]],Master!A:C,2,FALSE)</f>
        <v>Electronics</v>
      </c>
      <c r="F46" s="3">
        <f>VLOOKUP(Table1[[#This Row],[Product]],Master!A:C,3,FALSE)</f>
        <v>20000</v>
      </c>
      <c r="G46" s="3">
        <v>9</v>
      </c>
      <c r="H46" s="3">
        <v>180000</v>
      </c>
      <c r="I46" s="3">
        <v>168962</v>
      </c>
      <c r="J46" s="3" t="str">
        <f>TEXT(Table1[[#This Row],[Date]],"mmm")</f>
        <v>Feb</v>
      </c>
      <c r="K46" s="3">
        <f>YEAR(Table1[[#This Row],[Date]])</f>
        <v>2024</v>
      </c>
      <c r="L46" s="6">
        <f>Table1[[#This Row],[Revenue]]/Table1[[#This Row],[Target]]</f>
        <v>1.0653282986707071</v>
      </c>
      <c r="M46" s="3" t="str">
        <f>IF(Table1[[#This Row],[Achieved %]]&gt;1,"▲","▼")</f>
        <v>▲</v>
      </c>
    </row>
    <row r="47" spans="1:13" x14ac:dyDescent="0.25">
      <c r="A47" s="5">
        <v>45337</v>
      </c>
      <c r="B47" s="3" t="s">
        <v>12</v>
      </c>
      <c r="C47" s="3" t="s">
        <v>22</v>
      </c>
      <c r="D47" s="3" t="s">
        <v>17</v>
      </c>
      <c r="E47" s="3" t="str">
        <f>VLOOKUP(Table1[[#This Row],[Product]],Master!A:C,2,FALSE)</f>
        <v>Electronics</v>
      </c>
      <c r="F47" s="3">
        <f>VLOOKUP(Table1[[#This Row],[Product]],Master!A:C,3,FALSE)</f>
        <v>20000</v>
      </c>
      <c r="G47" s="3">
        <v>8</v>
      </c>
      <c r="H47" s="3">
        <v>160000</v>
      </c>
      <c r="I47" s="3">
        <v>144403</v>
      </c>
      <c r="J47" s="3" t="str">
        <f>TEXT(Table1[[#This Row],[Date]],"mmm")</f>
        <v>Feb</v>
      </c>
      <c r="K47" s="3">
        <f>YEAR(Table1[[#This Row],[Date]])</f>
        <v>2024</v>
      </c>
      <c r="L47" s="6">
        <f>Table1[[#This Row],[Revenue]]/Table1[[#This Row],[Target]]</f>
        <v>1.1080102213942924</v>
      </c>
      <c r="M47" s="3" t="str">
        <f>IF(Table1[[#This Row],[Achieved %]]&gt;1,"▲","▼")</f>
        <v>▲</v>
      </c>
    </row>
    <row r="48" spans="1:13" x14ac:dyDescent="0.25">
      <c r="A48" s="5">
        <v>45338</v>
      </c>
      <c r="B48" s="3" t="s">
        <v>8</v>
      </c>
      <c r="C48" s="3" t="s">
        <v>9</v>
      </c>
      <c r="D48" s="3" t="s">
        <v>17</v>
      </c>
      <c r="E48" s="3" t="str">
        <f>VLOOKUP(Table1[[#This Row],[Product]],Master!A:C,2,FALSE)</f>
        <v>Electronics</v>
      </c>
      <c r="F48" s="3">
        <f>VLOOKUP(Table1[[#This Row],[Product]],Master!A:C,3,FALSE)</f>
        <v>20000</v>
      </c>
      <c r="G48" s="3">
        <v>4</v>
      </c>
      <c r="H48" s="3">
        <v>80000</v>
      </c>
      <c r="I48" s="3">
        <v>70787</v>
      </c>
      <c r="J48" s="3" t="str">
        <f>TEXT(Table1[[#This Row],[Date]],"mmm")</f>
        <v>Feb</v>
      </c>
      <c r="K48" s="3">
        <f>YEAR(Table1[[#This Row],[Date]])</f>
        <v>2024</v>
      </c>
      <c r="L48" s="6">
        <f>Table1[[#This Row],[Revenue]]/Table1[[#This Row],[Target]]</f>
        <v>1.1301510164295705</v>
      </c>
      <c r="M48" s="3" t="str">
        <f>IF(Table1[[#This Row],[Achieved %]]&gt;1,"▲","▼")</f>
        <v>▲</v>
      </c>
    </row>
    <row r="49" spans="1:13" x14ac:dyDescent="0.25">
      <c r="A49" s="5">
        <v>45339</v>
      </c>
      <c r="B49" s="3" t="s">
        <v>12</v>
      </c>
      <c r="C49" s="3" t="s">
        <v>20</v>
      </c>
      <c r="D49" s="3" t="s">
        <v>17</v>
      </c>
      <c r="E49" s="3" t="str">
        <f>VLOOKUP(Table1[[#This Row],[Product]],Master!A:C,2,FALSE)</f>
        <v>Electronics</v>
      </c>
      <c r="F49" s="3">
        <f>VLOOKUP(Table1[[#This Row],[Product]],Master!A:C,3,FALSE)</f>
        <v>20000</v>
      </c>
      <c r="G49" s="3">
        <v>8</v>
      </c>
      <c r="H49" s="3">
        <v>160000</v>
      </c>
      <c r="I49" s="3">
        <v>164451</v>
      </c>
      <c r="J49" s="3" t="str">
        <f>TEXT(Table1[[#This Row],[Date]],"mmm")</f>
        <v>Feb</v>
      </c>
      <c r="K49" s="3">
        <f>YEAR(Table1[[#This Row],[Date]])</f>
        <v>2024</v>
      </c>
      <c r="L49" s="6">
        <f>Table1[[#This Row],[Revenue]]/Table1[[#This Row],[Target]]</f>
        <v>0.97293418708308255</v>
      </c>
      <c r="M49" s="3" t="str">
        <f>IF(Table1[[#This Row],[Achieved %]]&gt;1,"▲","▼")</f>
        <v>▼</v>
      </c>
    </row>
    <row r="50" spans="1:13" x14ac:dyDescent="0.25">
      <c r="A50" s="5">
        <v>45340</v>
      </c>
      <c r="B50" s="3" t="s">
        <v>8</v>
      </c>
      <c r="C50" s="3" t="s">
        <v>9</v>
      </c>
      <c r="D50" s="3" t="s">
        <v>21</v>
      </c>
      <c r="E50" s="3" t="str">
        <f>VLOOKUP(Table1[[#This Row],[Product]],Master!A:C,2,FALSE)</f>
        <v>Electronics</v>
      </c>
      <c r="F50" s="3">
        <f>VLOOKUP(Table1[[#This Row],[Product]],Master!A:C,3,FALSE)</f>
        <v>30000</v>
      </c>
      <c r="G50" s="3">
        <v>4</v>
      </c>
      <c r="H50" s="3">
        <v>120000</v>
      </c>
      <c r="I50" s="3">
        <v>116583</v>
      </c>
      <c r="J50" s="3" t="str">
        <f>TEXT(Table1[[#This Row],[Date]],"mmm")</f>
        <v>Feb</v>
      </c>
      <c r="K50" s="3">
        <f>YEAR(Table1[[#This Row],[Date]])</f>
        <v>2024</v>
      </c>
      <c r="L50" s="6">
        <f>Table1[[#This Row],[Revenue]]/Table1[[#This Row],[Target]]</f>
        <v>1.0293095905921104</v>
      </c>
      <c r="M50" s="3" t="str">
        <f>IF(Table1[[#This Row],[Achieved %]]&gt;1,"▲","▼")</f>
        <v>▲</v>
      </c>
    </row>
    <row r="51" spans="1:13" x14ac:dyDescent="0.25">
      <c r="A51" s="5">
        <v>45341</v>
      </c>
      <c r="B51" s="3" t="s">
        <v>16</v>
      </c>
      <c r="C51" s="3" t="s">
        <v>13</v>
      </c>
      <c r="D51" s="3" t="s">
        <v>10</v>
      </c>
      <c r="E51" s="3" t="str">
        <f>VLOOKUP(Table1[[#This Row],[Product]],Master!A:C,2,FALSE)</f>
        <v>Electronics</v>
      </c>
      <c r="F51" s="3">
        <f>VLOOKUP(Table1[[#This Row],[Product]],Master!A:C,3,FALSE)</f>
        <v>50000</v>
      </c>
      <c r="G51" s="3">
        <v>3</v>
      </c>
      <c r="H51" s="3">
        <v>150000</v>
      </c>
      <c r="I51" s="3">
        <v>135208</v>
      </c>
      <c r="J51" s="3" t="str">
        <f>TEXT(Table1[[#This Row],[Date]],"mmm")</f>
        <v>Feb</v>
      </c>
      <c r="K51" s="3">
        <f>YEAR(Table1[[#This Row],[Date]])</f>
        <v>2024</v>
      </c>
      <c r="L51" s="6">
        <f>Table1[[#This Row],[Revenue]]/Table1[[#This Row],[Target]]</f>
        <v>1.1094018105437549</v>
      </c>
      <c r="M51" s="3" t="str">
        <f>IF(Table1[[#This Row],[Achieved %]]&gt;1,"▲","▼")</f>
        <v>▲</v>
      </c>
    </row>
    <row r="52" spans="1:13" x14ac:dyDescent="0.25">
      <c r="A52" s="5">
        <v>45342</v>
      </c>
      <c r="B52" s="3" t="s">
        <v>12</v>
      </c>
      <c r="C52" s="3" t="s">
        <v>13</v>
      </c>
      <c r="D52" s="3" t="s">
        <v>14</v>
      </c>
      <c r="E52" s="3" t="str">
        <f>VLOOKUP(Table1[[#This Row],[Product]],Master!A:C,2,FALSE)</f>
        <v>Office</v>
      </c>
      <c r="F52" s="3">
        <f>VLOOKUP(Table1[[#This Row],[Product]],Master!A:C,3,FALSE)</f>
        <v>15000</v>
      </c>
      <c r="G52" s="3">
        <v>5</v>
      </c>
      <c r="H52" s="3">
        <v>75000</v>
      </c>
      <c r="I52" s="3">
        <v>63389</v>
      </c>
      <c r="J52" s="3" t="str">
        <f>TEXT(Table1[[#This Row],[Date]],"mmm")</f>
        <v>Feb</v>
      </c>
      <c r="K52" s="3">
        <f>YEAR(Table1[[#This Row],[Date]])</f>
        <v>2024</v>
      </c>
      <c r="L52" s="6">
        <f>Table1[[#This Row],[Revenue]]/Table1[[#This Row],[Target]]</f>
        <v>1.183170581646658</v>
      </c>
      <c r="M52" s="3" t="str">
        <f>IF(Table1[[#This Row],[Achieved %]]&gt;1,"▲","▼")</f>
        <v>▲</v>
      </c>
    </row>
    <row r="53" spans="1:13" x14ac:dyDescent="0.25">
      <c r="A53" s="5">
        <v>45343</v>
      </c>
      <c r="B53" s="3" t="s">
        <v>16</v>
      </c>
      <c r="C53" s="3" t="s">
        <v>9</v>
      </c>
      <c r="D53" s="3" t="s">
        <v>21</v>
      </c>
      <c r="E53" s="3" t="str">
        <f>VLOOKUP(Table1[[#This Row],[Product]],Master!A:C,2,FALSE)</f>
        <v>Electronics</v>
      </c>
      <c r="F53" s="3">
        <f>VLOOKUP(Table1[[#This Row],[Product]],Master!A:C,3,FALSE)</f>
        <v>30000</v>
      </c>
      <c r="G53" s="3">
        <v>9</v>
      </c>
      <c r="H53" s="3">
        <v>270000</v>
      </c>
      <c r="I53" s="3">
        <v>276813</v>
      </c>
      <c r="J53" s="3" t="str">
        <f>TEXT(Table1[[#This Row],[Date]],"mmm")</f>
        <v>Feb</v>
      </c>
      <c r="K53" s="3">
        <f>YEAR(Table1[[#This Row],[Date]])</f>
        <v>2024</v>
      </c>
      <c r="L53" s="6">
        <f>Table1[[#This Row],[Revenue]]/Table1[[#This Row],[Target]]</f>
        <v>0.97538771661735535</v>
      </c>
      <c r="M53" s="3" t="str">
        <f>IF(Table1[[#This Row],[Achieved %]]&gt;1,"▲","▼")</f>
        <v>▼</v>
      </c>
    </row>
    <row r="54" spans="1:13" x14ac:dyDescent="0.25">
      <c r="A54" s="5">
        <v>45344</v>
      </c>
      <c r="B54" s="3" t="s">
        <v>8</v>
      </c>
      <c r="C54" s="3" t="s">
        <v>13</v>
      </c>
      <c r="D54" s="3" t="s">
        <v>10</v>
      </c>
      <c r="E54" s="3" t="str">
        <f>VLOOKUP(Table1[[#This Row],[Product]],Master!A:C,2,FALSE)</f>
        <v>Electronics</v>
      </c>
      <c r="F54" s="3">
        <f>VLOOKUP(Table1[[#This Row],[Product]],Master!A:C,3,FALSE)</f>
        <v>50000</v>
      </c>
      <c r="G54" s="3">
        <v>4</v>
      </c>
      <c r="H54" s="3">
        <v>200000</v>
      </c>
      <c r="I54" s="3">
        <v>193688</v>
      </c>
      <c r="J54" s="3" t="str">
        <f>TEXT(Table1[[#This Row],[Date]],"mmm")</f>
        <v>Feb</v>
      </c>
      <c r="K54" s="3">
        <f>YEAR(Table1[[#This Row],[Date]])</f>
        <v>2024</v>
      </c>
      <c r="L54" s="6">
        <f>Table1[[#This Row],[Revenue]]/Table1[[#This Row],[Target]]</f>
        <v>1.0325884928338358</v>
      </c>
      <c r="M54" s="3" t="str">
        <f>IF(Table1[[#This Row],[Achieved %]]&gt;1,"▲","▼")</f>
        <v>▲</v>
      </c>
    </row>
    <row r="55" spans="1:13" x14ac:dyDescent="0.25">
      <c r="A55" s="5">
        <v>45345</v>
      </c>
      <c r="B55" s="3" t="s">
        <v>8</v>
      </c>
      <c r="C55" s="3" t="s">
        <v>22</v>
      </c>
      <c r="D55" s="3" t="s">
        <v>10</v>
      </c>
      <c r="E55" s="3" t="str">
        <f>VLOOKUP(Table1[[#This Row],[Product]],Master!A:C,2,FALSE)</f>
        <v>Electronics</v>
      </c>
      <c r="F55" s="3">
        <f>VLOOKUP(Table1[[#This Row],[Product]],Master!A:C,3,FALSE)</f>
        <v>50000</v>
      </c>
      <c r="G55" s="3">
        <v>5</v>
      </c>
      <c r="H55" s="3">
        <v>250000</v>
      </c>
      <c r="I55" s="3">
        <v>250803</v>
      </c>
      <c r="J55" s="3" t="str">
        <f>TEXT(Table1[[#This Row],[Date]],"mmm")</f>
        <v>Feb</v>
      </c>
      <c r="K55" s="3">
        <f>YEAR(Table1[[#This Row],[Date]])</f>
        <v>2024</v>
      </c>
      <c r="L55" s="6">
        <f>Table1[[#This Row],[Revenue]]/Table1[[#This Row],[Target]]</f>
        <v>0.99679828391207437</v>
      </c>
      <c r="M55" s="3" t="str">
        <f>IF(Table1[[#This Row],[Achieved %]]&gt;1,"▲","▼")</f>
        <v>▼</v>
      </c>
    </row>
    <row r="56" spans="1:13" x14ac:dyDescent="0.25">
      <c r="A56" s="5">
        <v>45346</v>
      </c>
      <c r="B56" s="3" t="s">
        <v>16</v>
      </c>
      <c r="C56" s="3" t="s">
        <v>9</v>
      </c>
      <c r="D56" s="3" t="s">
        <v>14</v>
      </c>
      <c r="E56" s="3" t="str">
        <f>VLOOKUP(Table1[[#This Row],[Product]],Master!A:C,2,FALSE)</f>
        <v>Office</v>
      </c>
      <c r="F56" s="3">
        <f>VLOOKUP(Table1[[#This Row],[Product]],Master!A:C,3,FALSE)</f>
        <v>15000</v>
      </c>
      <c r="G56" s="3">
        <v>3</v>
      </c>
      <c r="H56" s="3">
        <v>45000</v>
      </c>
      <c r="I56" s="3">
        <v>47302</v>
      </c>
      <c r="J56" s="3" t="str">
        <f>TEXT(Table1[[#This Row],[Date]],"mmm")</f>
        <v>Feb</v>
      </c>
      <c r="K56" s="3">
        <f>YEAR(Table1[[#This Row],[Date]])</f>
        <v>2024</v>
      </c>
      <c r="L56" s="6">
        <f>Table1[[#This Row],[Revenue]]/Table1[[#This Row],[Target]]</f>
        <v>0.95133398164982452</v>
      </c>
      <c r="M56" s="3" t="str">
        <f>IF(Table1[[#This Row],[Achieved %]]&gt;1,"▲","▼")</f>
        <v>▼</v>
      </c>
    </row>
    <row r="57" spans="1:13" x14ac:dyDescent="0.25">
      <c r="A57" s="5">
        <v>45347</v>
      </c>
      <c r="B57" s="3" t="s">
        <v>16</v>
      </c>
      <c r="C57" s="3" t="s">
        <v>20</v>
      </c>
      <c r="D57" s="3" t="s">
        <v>17</v>
      </c>
      <c r="E57" s="3" t="str">
        <f>VLOOKUP(Table1[[#This Row],[Product]],Master!A:C,2,FALSE)</f>
        <v>Electronics</v>
      </c>
      <c r="F57" s="3">
        <f>VLOOKUP(Table1[[#This Row],[Product]],Master!A:C,3,FALSE)</f>
        <v>20000</v>
      </c>
      <c r="G57" s="3">
        <v>3</v>
      </c>
      <c r="H57" s="3">
        <v>60000</v>
      </c>
      <c r="I57" s="3">
        <v>54676</v>
      </c>
      <c r="J57" s="3" t="str">
        <f>TEXT(Table1[[#This Row],[Date]],"mmm")</f>
        <v>Feb</v>
      </c>
      <c r="K57" s="3">
        <f>YEAR(Table1[[#This Row],[Date]])</f>
        <v>2024</v>
      </c>
      <c r="L57" s="6">
        <f>Table1[[#This Row],[Revenue]]/Table1[[#This Row],[Target]]</f>
        <v>1.097373619138196</v>
      </c>
      <c r="M57" s="3" t="str">
        <f>IF(Table1[[#This Row],[Achieved %]]&gt;1,"▲","▼")</f>
        <v>▲</v>
      </c>
    </row>
    <row r="58" spans="1:13" x14ac:dyDescent="0.25">
      <c r="A58" s="5">
        <v>45348</v>
      </c>
      <c r="B58" s="3" t="s">
        <v>18</v>
      </c>
      <c r="C58" s="3" t="s">
        <v>20</v>
      </c>
      <c r="D58" s="3" t="s">
        <v>17</v>
      </c>
      <c r="E58" s="3" t="str">
        <f>VLOOKUP(Table1[[#This Row],[Product]],Master!A:C,2,FALSE)</f>
        <v>Electronics</v>
      </c>
      <c r="F58" s="3">
        <f>VLOOKUP(Table1[[#This Row],[Product]],Master!A:C,3,FALSE)</f>
        <v>20000</v>
      </c>
      <c r="G58" s="3">
        <v>6</v>
      </c>
      <c r="H58" s="3">
        <v>120000</v>
      </c>
      <c r="I58" s="3">
        <v>125484</v>
      </c>
      <c r="J58" s="3" t="str">
        <f>TEXT(Table1[[#This Row],[Date]],"mmm")</f>
        <v>Feb</v>
      </c>
      <c r="K58" s="3">
        <f>YEAR(Table1[[#This Row],[Date]])</f>
        <v>2024</v>
      </c>
      <c r="L58" s="6">
        <f>Table1[[#This Row],[Revenue]]/Table1[[#This Row],[Target]]</f>
        <v>0.95629721717509797</v>
      </c>
      <c r="M58" s="3" t="str">
        <f>IF(Table1[[#This Row],[Achieved %]]&gt;1,"▲","▼")</f>
        <v>▼</v>
      </c>
    </row>
    <row r="59" spans="1:13" x14ac:dyDescent="0.25">
      <c r="A59" s="5">
        <v>45349</v>
      </c>
      <c r="B59" s="3" t="s">
        <v>8</v>
      </c>
      <c r="C59" s="3" t="s">
        <v>19</v>
      </c>
      <c r="D59" s="3" t="s">
        <v>14</v>
      </c>
      <c r="E59" s="3" t="str">
        <f>VLOOKUP(Table1[[#This Row],[Product]],Master!A:C,2,FALSE)</f>
        <v>Office</v>
      </c>
      <c r="F59" s="3">
        <f>VLOOKUP(Table1[[#This Row],[Product]],Master!A:C,3,FALSE)</f>
        <v>15000</v>
      </c>
      <c r="G59" s="3">
        <v>6</v>
      </c>
      <c r="H59" s="3">
        <v>90000</v>
      </c>
      <c r="I59" s="3">
        <v>103191</v>
      </c>
      <c r="J59" s="3" t="str">
        <f>TEXT(Table1[[#This Row],[Date]],"mmm")</f>
        <v>Feb</v>
      </c>
      <c r="K59" s="3">
        <f>YEAR(Table1[[#This Row],[Date]])</f>
        <v>2024</v>
      </c>
      <c r="L59" s="6">
        <f>Table1[[#This Row],[Revenue]]/Table1[[#This Row],[Target]]</f>
        <v>0.87216908451318431</v>
      </c>
      <c r="M59" s="3" t="str">
        <f>IF(Table1[[#This Row],[Achieved %]]&gt;1,"▲","▼")</f>
        <v>▼</v>
      </c>
    </row>
    <row r="60" spans="1:13" x14ac:dyDescent="0.25">
      <c r="A60" s="5">
        <v>45350</v>
      </c>
      <c r="B60" s="3" t="s">
        <v>12</v>
      </c>
      <c r="C60" s="3" t="s">
        <v>22</v>
      </c>
      <c r="D60" s="3" t="s">
        <v>21</v>
      </c>
      <c r="E60" s="3" t="str">
        <f>VLOOKUP(Table1[[#This Row],[Product]],Master!A:C,2,FALSE)</f>
        <v>Electronics</v>
      </c>
      <c r="F60" s="3">
        <f>VLOOKUP(Table1[[#This Row],[Product]],Master!A:C,3,FALSE)</f>
        <v>30000</v>
      </c>
      <c r="G60" s="3">
        <v>2</v>
      </c>
      <c r="H60" s="3">
        <v>60000</v>
      </c>
      <c r="I60" s="3">
        <v>73735</v>
      </c>
      <c r="J60" s="3" t="str">
        <f>TEXT(Table1[[#This Row],[Date]],"mmm")</f>
        <v>Feb</v>
      </c>
      <c r="K60" s="3">
        <f>YEAR(Table1[[#This Row],[Date]])</f>
        <v>2024</v>
      </c>
      <c r="L60" s="6">
        <f>Table1[[#This Row],[Revenue]]/Table1[[#This Row],[Target]]</f>
        <v>0.81372482538821456</v>
      </c>
      <c r="M60" s="3" t="str">
        <f>IF(Table1[[#This Row],[Achieved %]]&gt;1,"▲","▼")</f>
        <v>▼</v>
      </c>
    </row>
    <row r="61" spans="1:13" x14ac:dyDescent="0.25">
      <c r="A61" s="5">
        <v>45351</v>
      </c>
      <c r="B61" s="3" t="s">
        <v>16</v>
      </c>
      <c r="C61" s="3" t="s">
        <v>9</v>
      </c>
      <c r="D61" s="3" t="s">
        <v>14</v>
      </c>
      <c r="E61" s="3" t="str">
        <f>VLOOKUP(Table1[[#This Row],[Product]],Master!A:C,2,FALSE)</f>
        <v>Office</v>
      </c>
      <c r="F61" s="3">
        <f>VLOOKUP(Table1[[#This Row],[Product]],Master!A:C,3,FALSE)</f>
        <v>15000</v>
      </c>
      <c r="G61" s="3">
        <v>4</v>
      </c>
      <c r="H61" s="3">
        <v>60000</v>
      </c>
      <c r="I61" s="3">
        <v>73201</v>
      </c>
      <c r="J61" s="3" t="str">
        <f>TEXT(Table1[[#This Row],[Date]],"mmm")</f>
        <v>Feb</v>
      </c>
      <c r="K61" s="3">
        <f>YEAR(Table1[[#This Row],[Date]])</f>
        <v>2024</v>
      </c>
      <c r="L61" s="6">
        <f>Table1[[#This Row],[Revenue]]/Table1[[#This Row],[Target]]</f>
        <v>0.81966093359380332</v>
      </c>
      <c r="M61" s="3" t="str">
        <f>IF(Table1[[#This Row],[Achieved %]]&gt;1,"▲","▼")</f>
        <v>▼</v>
      </c>
    </row>
    <row r="62" spans="1:13" x14ac:dyDescent="0.25">
      <c r="A62" s="5">
        <v>45352</v>
      </c>
      <c r="B62" s="3" t="s">
        <v>8</v>
      </c>
      <c r="C62" s="3" t="s">
        <v>9</v>
      </c>
      <c r="D62" s="3" t="s">
        <v>17</v>
      </c>
      <c r="E62" s="3" t="str">
        <f>VLOOKUP(Table1[[#This Row],[Product]],Master!A:C,2,FALSE)</f>
        <v>Electronics</v>
      </c>
      <c r="F62" s="3">
        <f>VLOOKUP(Table1[[#This Row],[Product]],Master!A:C,3,FALSE)</f>
        <v>20000</v>
      </c>
      <c r="G62" s="3">
        <v>3</v>
      </c>
      <c r="H62" s="3">
        <v>60000</v>
      </c>
      <c r="I62" s="3">
        <v>71200</v>
      </c>
      <c r="J62" s="3" t="str">
        <f>TEXT(Table1[[#This Row],[Date]],"mmm")</f>
        <v>Mar</v>
      </c>
      <c r="K62" s="3">
        <f>YEAR(Table1[[#This Row],[Date]])</f>
        <v>2024</v>
      </c>
      <c r="L62" s="6">
        <f>Table1[[#This Row],[Revenue]]/Table1[[#This Row],[Target]]</f>
        <v>0.84269662921348309</v>
      </c>
      <c r="M62" s="3" t="str">
        <f>IF(Table1[[#This Row],[Achieved %]]&gt;1,"▲","▼")</f>
        <v>▼</v>
      </c>
    </row>
    <row r="63" spans="1:13" x14ac:dyDescent="0.25">
      <c r="A63" s="5">
        <v>45353</v>
      </c>
      <c r="B63" s="3" t="s">
        <v>12</v>
      </c>
      <c r="C63" s="3" t="s">
        <v>13</v>
      </c>
      <c r="D63" s="3" t="s">
        <v>10</v>
      </c>
      <c r="E63" s="3" t="str">
        <f>VLOOKUP(Table1[[#This Row],[Product]],Master!A:C,2,FALSE)</f>
        <v>Electronics</v>
      </c>
      <c r="F63" s="3">
        <f>VLOOKUP(Table1[[#This Row],[Product]],Master!A:C,3,FALSE)</f>
        <v>50000</v>
      </c>
      <c r="G63" s="3">
        <v>2</v>
      </c>
      <c r="H63" s="3">
        <v>100000</v>
      </c>
      <c r="I63" s="3">
        <v>116736</v>
      </c>
      <c r="J63" s="3" t="str">
        <f>TEXT(Table1[[#This Row],[Date]],"mmm")</f>
        <v>Mar</v>
      </c>
      <c r="K63" s="3">
        <f>YEAR(Table1[[#This Row],[Date]])</f>
        <v>2024</v>
      </c>
      <c r="L63" s="6">
        <f>Table1[[#This Row],[Revenue]]/Table1[[#This Row],[Target]]</f>
        <v>0.85663377192982459</v>
      </c>
      <c r="M63" s="3" t="str">
        <f>IF(Table1[[#This Row],[Achieved %]]&gt;1,"▲","▼")</f>
        <v>▼</v>
      </c>
    </row>
    <row r="64" spans="1:13" x14ac:dyDescent="0.25">
      <c r="A64" s="5">
        <v>45354</v>
      </c>
      <c r="B64" s="3" t="s">
        <v>18</v>
      </c>
      <c r="C64" s="3" t="s">
        <v>22</v>
      </c>
      <c r="D64" s="3" t="s">
        <v>21</v>
      </c>
      <c r="E64" s="3" t="str">
        <f>VLOOKUP(Table1[[#This Row],[Product]],Master!A:C,2,FALSE)</f>
        <v>Electronics</v>
      </c>
      <c r="F64" s="3">
        <f>VLOOKUP(Table1[[#This Row],[Product]],Master!A:C,3,FALSE)</f>
        <v>30000</v>
      </c>
      <c r="G64" s="3">
        <v>5</v>
      </c>
      <c r="H64" s="3">
        <v>150000</v>
      </c>
      <c r="I64" s="3">
        <v>155182</v>
      </c>
      <c r="J64" s="3" t="str">
        <f>TEXT(Table1[[#This Row],[Date]],"mmm")</f>
        <v>Mar</v>
      </c>
      <c r="K64" s="3">
        <f>YEAR(Table1[[#This Row],[Date]])</f>
        <v>2024</v>
      </c>
      <c r="L64" s="6">
        <f>Table1[[#This Row],[Revenue]]/Table1[[#This Row],[Target]]</f>
        <v>0.96660695183719758</v>
      </c>
      <c r="M64" s="3" t="str">
        <f>IF(Table1[[#This Row],[Achieved %]]&gt;1,"▲","▼")</f>
        <v>▼</v>
      </c>
    </row>
    <row r="65" spans="1:13" x14ac:dyDescent="0.25">
      <c r="A65" s="5">
        <v>45355</v>
      </c>
      <c r="B65" s="3" t="s">
        <v>18</v>
      </c>
      <c r="C65" s="3" t="s">
        <v>13</v>
      </c>
      <c r="D65" s="3" t="s">
        <v>14</v>
      </c>
      <c r="E65" s="3" t="str">
        <f>VLOOKUP(Table1[[#This Row],[Product]],Master!A:C,2,FALSE)</f>
        <v>Office</v>
      </c>
      <c r="F65" s="3">
        <f>VLOOKUP(Table1[[#This Row],[Product]],Master!A:C,3,FALSE)</f>
        <v>15000</v>
      </c>
      <c r="G65" s="3">
        <v>4</v>
      </c>
      <c r="H65" s="3">
        <v>60000</v>
      </c>
      <c r="I65" s="3">
        <v>65907</v>
      </c>
      <c r="J65" s="3" t="str">
        <f>TEXT(Table1[[#This Row],[Date]],"mmm")</f>
        <v>Mar</v>
      </c>
      <c r="K65" s="3">
        <f>YEAR(Table1[[#This Row],[Date]])</f>
        <v>2024</v>
      </c>
      <c r="L65" s="6">
        <f>Table1[[#This Row],[Revenue]]/Table1[[#This Row],[Target]]</f>
        <v>0.91037370840730125</v>
      </c>
      <c r="M65" s="3" t="str">
        <f>IF(Table1[[#This Row],[Achieved %]]&gt;1,"▲","▼")</f>
        <v>▼</v>
      </c>
    </row>
    <row r="66" spans="1:13" x14ac:dyDescent="0.25">
      <c r="A66" s="5">
        <v>45356</v>
      </c>
      <c r="B66" s="3" t="s">
        <v>18</v>
      </c>
      <c r="C66" s="3" t="s">
        <v>20</v>
      </c>
      <c r="D66" s="3" t="s">
        <v>14</v>
      </c>
      <c r="E66" s="3" t="str">
        <f>VLOOKUP(Table1[[#This Row],[Product]],Master!A:C,2,FALSE)</f>
        <v>Office</v>
      </c>
      <c r="F66" s="3">
        <f>VLOOKUP(Table1[[#This Row],[Product]],Master!A:C,3,FALSE)</f>
        <v>15000</v>
      </c>
      <c r="G66" s="3">
        <v>8</v>
      </c>
      <c r="H66" s="3">
        <v>120000</v>
      </c>
      <c r="I66" s="3">
        <v>102195</v>
      </c>
      <c r="J66" s="3" t="str">
        <f>TEXT(Table1[[#This Row],[Date]],"mmm")</f>
        <v>Mar</v>
      </c>
      <c r="K66" s="3">
        <f>YEAR(Table1[[#This Row],[Date]])</f>
        <v>2024</v>
      </c>
      <c r="L66" s="6">
        <f>Table1[[#This Row],[Revenue]]/Table1[[#This Row],[Target]]</f>
        <v>1.1742257448994569</v>
      </c>
      <c r="M66" s="3" t="str">
        <f>IF(Table1[[#This Row],[Achieved %]]&gt;1,"▲","▼")</f>
        <v>▲</v>
      </c>
    </row>
    <row r="67" spans="1:13" x14ac:dyDescent="0.25">
      <c r="A67" s="5">
        <v>45357</v>
      </c>
      <c r="B67" s="3" t="s">
        <v>8</v>
      </c>
      <c r="C67" s="3" t="s">
        <v>13</v>
      </c>
      <c r="D67" s="3" t="s">
        <v>17</v>
      </c>
      <c r="E67" s="3" t="str">
        <f>VLOOKUP(Table1[[#This Row],[Product]],Master!A:C,2,FALSE)</f>
        <v>Electronics</v>
      </c>
      <c r="F67" s="3">
        <f>VLOOKUP(Table1[[#This Row],[Product]],Master!A:C,3,FALSE)</f>
        <v>20000</v>
      </c>
      <c r="G67" s="3">
        <v>9</v>
      </c>
      <c r="H67" s="3">
        <v>180000</v>
      </c>
      <c r="I67" s="3">
        <v>170100</v>
      </c>
      <c r="J67" s="3" t="str">
        <f>TEXT(Table1[[#This Row],[Date]],"mmm")</f>
        <v>Mar</v>
      </c>
      <c r="K67" s="3">
        <f>YEAR(Table1[[#This Row],[Date]])</f>
        <v>2024</v>
      </c>
      <c r="L67" s="6">
        <f>Table1[[#This Row],[Revenue]]/Table1[[#This Row],[Target]]</f>
        <v>1.0582010582010581</v>
      </c>
      <c r="M67" s="3" t="str">
        <f>IF(Table1[[#This Row],[Achieved %]]&gt;1,"▲","▼")</f>
        <v>▲</v>
      </c>
    </row>
    <row r="68" spans="1:13" x14ac:dyDescent="0.25">
      <c r="A68" s="5">
        <v>45358</v>
      </c>
      <c r="B68" s="3" t="s">
        <v>12</v>
      </c>
      <c r="C68" s="3" t="s">
        <v>22</v>
      </c>
      <c r="D68" s="3" t="s">
        <v>14</v>
      </c>
      <c r="E68" s="3" t="str">
        <f>VLOOKUP(Table1[[#This Row],[Product]],Master!A:C,2,FALSE)</f>
        <v>Office</v>
      </c>
      <c r="F68" s="3">
        <f>VLOOKUP(Table1[[#This Row],[Product]],Master!A:C,3,FALSE)</f>
        <v>15000</v>
      </c>
      <c r="G68" s="3">
        <v>5</v>
      </c>
      <c r="H68" s="3">
        <v>75000</v>
      </c>
      <c r="I68" s="3">
        <v>78978</v>
      </c>
      <c r="J68" s="3" t="str">
        <f>TEXT(Table1[[#This Row],[Date]],"mmm")</f>
        <v>Mar</v>
      </c>
      <c r="K68" s="3">
        <f>YEAR(Table1[[#This Row],[Date]])</f>
        <v>2024</v>
      </c>
      <c r="L68" s="6">
        <f>Table1[[#This Row],[Revenue]]/Table1[[#This Row],[Target]]</f>
        <v>0.94963154296133101</v>
      </c>
      <c r="M68" s="3" t="str">
        <f>IF(Table1[[#This Row],[Achieved %]]&gt;1,"▲","▼")</f>
        <v>▼</v>
      </c>
    </row>
    <row r="69" spans="1:13" x14ac:dyDescent="0.25">
      <c r="A69" s="5">
        <v>45359</v>
      </c>
      <c r="B69" s="3" t="s">
        <v>8</v>
      </c>
      <c r="C69" s="3" t="s">
        <v>13</v>
      </c>
      <c r="D69" s="3" t="s">
        <v>10</v>
      </c>
      <c r="E69" s="3" t="str">
        <f>VLOOKUP(Table1[[#This Row],[Product]],Master!A:C,2,FALSE)</f>
        <v>Electronics</v>
      </c>
      <c r="F69" s="3">
        <f>VLOOKUP(Table1[[#This Row],[Product]],Master!A:C,3,FALSE)</f>
        <v>50000</v>
      </c>
      <c r="G69" s="3">
        <v>3</v>
      </c>
      <c r="H69" s="3">
        <v>150000</v>
      </c>
      <c r="I69" s="3">
        <v>153418</v>
      </c>
      <c r="J69" s="3" t="str">
        <f>TEXT(Table1[[#This Row],[Date]],"mmm")</f>
        <v>Mar</v>
      </c>
      <c r="K69" s="3">
        <f>YEAR(Table1[[#This Row],[Date]])</f>
        <v>2024</v>
      </c>
      <c r="L69" s="6">
        <f>Table1[[#This Row],[Revenue]]/Table1[[#This Row],[Target]]</f>
        <v>0.97772099753614305</v>
      </c>
      <c r="M69" s="3" t="str">
        <f>IF(Table1[[#This Row],[Achieved %]]&gt;1,"▲","▼")</f>
        <v>▼</v>
      </c>
    </row>
    <row r="70" spans="1:13" x14ac:dyDescent="0.25">
      <c r="A70" s="5">
        <v>45360</v>
      </c>
      <c r="B70" s="3" t="s">
        <v>8</v>
      </c>
      <c r="C70" s="3" t="s">
        <v>19</v>
      </c>
      <c r="D70" s="3" t="s">
        <v>17</v>
      </c>
      <c r="E70" s="3" t="str">
        <f>VLOOKUP(Table1[[#This Row],[Product]],Master!A:C,2,FALSE)</f>
        <v>Electronics</v>
      </c>
      <c r="F70" s="3">
        <f>VLOOKUP(Table1[[#This Row],[Product]],Master!A:C,3,FALSE)</f>
        <v>20000</v>
      </c>
      <c r="G70" s="3">
        <v>6</v>
      </c>
      <c r="H70" s="3">
        <v>120000</v>
      </c>
      <c r="I70" s="3">
        <v>127784</v>
      </c>
      <c r="J70" s="3" t="str">
        <f>TEXT(Table1[[#This Row],[Date]],"mmm")</f>
        <v>Mar</v>
      </c>
      <c r="K70" s="3">
        <f>YEAR(Table1[[#This Row],[Date]])</f>
        <v>2024</v>
      </c>
      <c r="L70" s="6">
        <f>Table1[[#This Row],[Revenue]]/Table1[[#This Row],[Target]]</f>
        <v>0.93908470544043077</v>
      </c>
      <c r="M70" s="3" t="str">
        <f>IF(Table1[[#This Row],[Achieved %]]&gt;1,"▲","▼")</f>
        <v>▼</v>
      </c>
    </row>
    <row r="71" spans="1:13" x14ac:dyDescent="0.25">
      <c r="A71" s="5">
        <v>45361</v>
      </c>
      <c r="B71" s="3" t="s">
        <v>16</v>
      </c>
      <c r="C71" s="3" t="s">
        <v>20</v>
      </c>
      <c r="D71" s="3" t="s">
        <v>10</v>
      </c>
      <c r="E71" s="3" t="str">
        <f>VLOOKUP(Table1[[#This Row],[Product]],Master!A:C,2,FALSE)</f>
        <v>Electronics</v>
      </c>
      <c r="F71" s="3">
        <f>VLOOKUP(Table1[[#This Row],[Product]],Master!A:C,3,FALSE)</f>
        <v>50000</v>
      </c>
      <c r="G71" s="3">
        <v>8</v>
      </c>
      <c r="H71" s="3">
        <v>400000</v>
      </c>
      <c r="I71" s="3">
        <v>417212</v>
      </c>
      <c r="J71" s="3" t="str">
        <f>TEXT(Table1[[#This Row],[Date]],"mmm")</f>
        <v>Mar</v>
      </c>
      <c r="K71" s="3">
        <f>YEAR(Table1[[#This Row],[Date]])</f>
        <v>2024</v>
      </c>
      <c r="L71" s="6">
        <f>Table1[[#This Row],[Revenue]]/Table1[[#This Row],[Target]]</f>
        <v>0.95874519428971361</v>
      </c>
      <c r="M71" s="3" t="str">
        <f>IF(Table1[[#This Row],[Achieved %]]&gt;1,"▲","▼")</f>
        <v>▼</v>
      </c>
    </row>
    <row r="72" spans="1:13" x14ac:dyDescent="0.25">
      <c r="A72" s="5">
        <v>45362</v>
      </c>
      <c r="B72" s="3" t="s">
        <v>8</v>
      </c>
      <c r="C72" s="3" t="s">
        <v>19</v>
      </c>
      <c r="D72" s="3" t="s">
        <v>21</v>
      </c>
      <c r="E72" s="3" t="str">
        <f>VLOOKUP(Table1[[#This Row],[Product]],Master!A:C,2,FALSE)</f>
        <v>Electronics</v>
      </c>
      <c r="F72" s="3">
        <f>VLOOKUP(Table1[[#This Row],[Product]],Master!A:C,3,FALSE)</f>
        <v>30000</v>
      </c>
      <c r="G72" s="3">
        <v>5</v>
      </c>
      <c r="H72" s="3">
        <v>150000</v>
      </c>
      <c r="I72" s="3">
        <v>137601</v>
      </c>
      <c r="J72" s="3" t="str">
        <f>TEXT(Table1[[#This Row],[Date]],"mmm")</f>
        <v>Mar</v>
      </c>
      <c r="K72" s="3">
        <f>YEAR(Table1[[#This Row],[Date]])</f>
        <v>2024</v>
      </c>
      <c r="L72" s="6">
        <f>Table1[[#This Row],[Revenue]]/Table1[[#This Row],[Target]]</f>
        <v>1.0901083567706631</v>
      </c>
      <c r="M72" s="3" t="str">
        <f>IF(Table1[[#This Row],[Achieved %]]&gt;1,"▲","▼")</f>
        <v>▲</v>
      </c>
    </row>
    <row r="73" spans="1:13" x14ac:dyDescent="0.25">
      <c r="A73" s="5">
        <v>45363</v>
      </c>
      <c r="B73" s="3" t="s">
        <v>12</v>
      </c>
      <c r="C73" s="3" t="s">
        <v>19</v>
      </c>
      <c r="D73" s="3" t="s">
        <v>14</v>
      </c>
      <c r="E73" s="3" t="str">
        <f>VLOOKUP(Table1[[#This Row],[Product]],Master!A:C,2,FALSE)</f>
        <v>Office</v>
      </c>
      <c r="F73" s="3">
        <f>VLOOKUP(Table1[[#This Row],[Product]],Master!A:C,3,FALSE)</f>
        <v>15000</v>
      </c>
      <c r="G73" s="3">
        <v>3</v>
      </c>
      <c r="H73" s="3">
        <v>45000</v>
      </c>
      <c r="I73" s="3">
        <v>53021</v>
      </c>
      <c r="J73" s="3" t="str">
        <f>TEXT(Table1[[#This Row],[Date]],"mmm")</f>
        <v>Mar</v>
      </c>
      <c r="K73" s="3">
        <f>YEAR(Table1[[#This Row],[Date]])</f>
        <v>2024</v>
      </c>
      <c r="L73" s="6">
        <f>Table1[[#This Row],[Revenue]]/Table1[[#This Row],[Target]]</f>
        <v>0.84872031836442163</v>
      </c>
      <c r="M73" s="3" t="str">
        <f>IF(Table1[[#This Row],[Achieved %]]&gt;1,"▲","▼")</f>
        <v>▼</v>
      </c>
    </row>
    <row r="74" spans="1:13" x14ac:dyDescent="0.25">
      <c r="A74" s="5">
        <v>45364</v>
      </c>
      <c r="B74" s="3" t="s">
        <v>8</v>
      </c>
      <c r="C74" s="3" t="s">
        <v>22</v>
      </c>
      <c r="D74" s="3" t="s">
        <v>21</v>
      </c>
      <c r="E74" s="3" t="str">
        <f>VLOOKUP(Table1[[#This Row],[Product]],Master!A:C,2,FALSE)</f>
        <v>Electronics</v>
      </c>
      <c r="F74" s="3">
        <f>VLOOKUP(Table1[[#This Row],[Product]],Master!A:C,3,FALSE)</f>
        <v>30000</v>
      </c>
      <c r="G74" s="3">
        <v>6</v>
      </c>
      <c r="H74" s="3">
        <v>180000</v>
      </c>
      <c r="I74" s="3">
        <v>163898</v>
      </c>
      <c r="J74" s="3" t="str">
        <f>TEXT(Table1[[#This Row],[Date]],"mmm")</f>
        <v>Mar</v>
      </c>
      <c r="K74" s="3">
        <f>YEAR(Table1[[#This Row],[Date]])</f>
        <v>2024</v>
      </c>
      <c r="L74" s="6">
        <f>Table1[[#This Row],[Revenue]]/Table1[[#This Row],[Target]]</f>
        <v>1.0982440298234268</v>
      </c>
      <c r="M74" s="3" t="str">
        <f>IF(Table1[[#This Row],[Achieved %]]&gt;1,"▲","▼")</f>
        <v>▲</v>
      </c>
    </row>
    <row r="75" spans="1:13" x14ac:dyDescent="0.25">
      <c r="A75" s="5">
        <v>45365</v>
      </c>
      <c r="B75" s="3" t="s">
        <v>8</v>
      </c>
      <c r="C75" s="3" t="s">
        <v>9</v>
      </c>
      <c r="D75" s="3" t="s">
        <v>10</v>
      </c>
      <c r="E75" s="3" t="str">
        <f>VLOOKUP(Table1[[#This Row],[Product]],Master!A:C,2,FALSE)</f>
        <v>Electronics</v>
      </c>
      <c r="F75" s="3">
        <f>VLOOKUP(Table1[[#This Row],[Product]],Master!A:C,3,FALSE)</f>
        <v>50000</v>
      </c>
      <c r="G75" s="3">
        <v>3</v>
      </c>
      <c r="H75" s="3">
        <v>150000</v>
      </c>
      <c r="I75" s="3">
        <v>130941</v>
      </c>
      <c r="J75" s="3" t="str">
        <f>TEXT(Table1[[#This Row],[Date]],"mmm")</f>
        <v>Mar</v>
      </c>
      <c r="K75" s="3">
        <f>YEAR(Table1[[#This Row],[Date]])</f>
        <v>2024</v>
      </c>
      <c r="L75" s="6">
        <f>Table1[[#This Row],[Revenue]]/Table1[[#This Row],[Target]]</f>
        <v>1.1455541045203566</v>
      </c>
      <c r="M75" s="3" t="str">
        <f>IF(Table1[[#This Row],[Achieved %]]&gt;1,"▲","▼")</f>
        <v>▲</v>
      </c>
    </row>
    <row r="76" spans="1:13" x14ac:dyDescent="0.25">
      <c r="A76" s="5">
        <v>45366</v>
      </c>
      <c r="B76" s="3" t="s">
        <v>12</v>
      </c>
      <c r="C76" s="3" t="s">
        <v>19</v>
      </c>
      <c r="D76" s="3" t="s">
        <v>21</v>
      </c>
      <c r="E76" s="3" t="str">
        <f>VLOOKUP(Table1[[#This Row],[Product]],Master!A:C,2,FALSE)</f>
        <v>Electronics</v>
      </c>
      <c r="F76" s="3">
        <f>VLOOKUP(Table1[[#This Row],[Product]],Master!A:C,3,FALSE)</f>
        <v>30000</v>
      </c>
      <c r="G76" s="3">
        <v>6</v>
      </c>
      <c r="H76" s="3">
        <v>180000</v>
      </c>
      <c r="I76" s="3">
        <v>169008</v>
      </c>
      <c r="J76" s="3" t="str">
        <f>TEXT(Table1[[#This Row],[Date]],"mmm")</f>
        <v>Mar</v>
      </c>
      <c r="K76" s="3">
        <f>YEAR(Table1[[#This Row],[Date]])</f>
        <v>2024</v>
      </c>
      <c r="L76" s="6">
        <f>Table1[[#This Row],[Revenue]]/Table1[[#This Row],[Target]]</f>
        <v>1.0650383413802897</v>
      </c>
      <c r="M76" s="3" t="str">
        <f>IF(Table1[[#This Row],[Achieved %]]&gt;1,"▲","▼")</f>
        <v>▲</v>
      </c>
    </row>
    <row r="77" spans="1:13" x14ac:dyDescent="0.25">
      <c r="A77" s="5">
        <v>45367</v>
      </c>
      <c r="B77" s="3" t="s">
        <v>16</v>
      </c>
      <c r="C77" s="3" t="s">
        <v>20</v>
      </c>
      <c r="D77" s="3" t="s">
        <v>10</v>
      </c>
      <c r="E77" s="3" t="str">
        <f>VLOOKUP(Table1[[#This Row],[Product]],Master!A:C,2,FALSE)</f>
        <v>Electronics</v>
      </c>
      <c r="F77" s="3">
        <f>VLOOKUP(Table1[[#This Row],[Product]],Master!A:C,3,FALSE)</f>
        <v>50000</v>
      </c>
      <c r="G77" s="3">
        <v>4</v>
      </c>
      <c r="H77" s="3">
        <v>200000</v>
      </c>
      <c r="I77" s="3">
        <v>191834</v>
      </c>
      <c r="J77" s="3" t="str">
        <f>TEXT(Table1[[#This Row],[Date]],"mmm")</f>
        <v>Mar</v>
      </c>
      <c r="K77" s="3">
        <f>YEAR(Table1[[#This Row],[Date]])</f>
        <v>2024</v>
      </c>
      <c r="L77" s="6">
        <f>Table1[[#This Row],[Revenue]]/Table1[[#This Row],[Target]]</f>
        <v>1.0425680536297006</v>
      </c>
      <c r="M77" s="3" t="str">
        <f>IF(Table1[[#This Row],[Achieved %]]&gt;1,"▲","▼")</f>
        <v>▲</v>
      </c>
    </row>
    <row r="78" spans="1:13" x14ac:dyDescent="0.25">
      <c r="A78" s="5">
        <v>45368</v>
      </c>
      <c r="B78" s="3" t="s">
        <v>18</v>
      </c>
      <c r="C78" s="3" t="s">
        <v>13</v>
      </c>
      <c r="D78" s="3" t="s">
        <v>17</v>
      </c>
      <c r="E78" s="3" t="str">
        <f>VLOOKUP(Table1[[#This Row],[Product]],Master!A:C,2,FALSE)</f>
        <v>Electronics</v>
      </c>
      <c r="F78" s="3">
        <f>VLOOKUP(Table1[[#This Row],[Product]],Master!A:C,3,FALSE)</f>
        <v>20000</v>
      </c>
      <c r="G78" s="3">
        <v>7</v>
      </c>
      <c r="H78" s="3">
        <v>140000</v>
      </c>
      <c r="I78" s="3">
        <v>156519</v>
      </c>
      <c r="J78" s="3" t="str">
        <f>TEXT(Table1[[#This Row],[Date]],"mmm")</f>
        <v>Mar</v>
      </c>
      <c r="K78" s="3">
        <f>YEAR(Table1[[#This Row],[Date]])</f>
        <v>2024</v>
      </c>
      <c r="L78" s="6">
        <f>Table1[[#This Row],[Revenue]]/Table1[[#This Row],[Target]]</f>
        <v>0.89446009749615063</v>
      </c>
      <c r="M78" s="3" t="str">
        <f>IF(Table1[[#This Row],[Achieved %]]&gt;1,"▲","▼")</f>
        <v>▼</v>
      </c>
    </row>
    <row r="79" spans="1:13" x14ac:dyDescent="0.25">
      <c r="A79" s="5">
        <v>45369</v>
      </c>
      <c r="B79" s="3" t="s">
        <v>12</v>
      </c>
      <c r="C79" s="3" t="s">
        <v>13</v>
      </c>
      <c r="D79" s="3" t="s">
        <v>14</v>
      </c>
      <c r="E79" s="3" t="str">
        <f>VLOOKUP(Table1[[#This Row],[Product]],Master!A:C,2,FALSE)</f>
        <v>Office</v>
      </c>
      <c r="F79" s="3">
        <f>VLOOKUP(Table1[[#This Row],[Product]],Master!A:C,3,FALSE)</f>
        <v>15000</v>
      </c>
      <c r="G79" s="3">
        <v>1</v>
      </c>
      <c r="H79" s="3">
        <v>15000</v>
      </c>
      <c r="I79" s="3">
        <v>10352</v>
      </c>
      <c r="J79" s="3" t="str">
        <f>TEXT(Table1[[#This Row],[Date]],"mmm")</f>
        <v>Mar</v>
      </c>
      <c r="K79" s="3">
        <f>YEAR(Table1[[#This Row],[Date]])</f>
        <v>2024</v>
      </c>
      <c r="L79" s="6">
        <f>Table1[[#This Row],[Revenue]]/Table1[[#This Row],[Target]]</f>
        <v>1.4489953632148378</v>
      </c>
      <c r="M79" s="3" t="str">
        <f>IF(Table1[[#This Row],[Achieved %]]&gt;1,"▲","▼")</f>
        <v>▲</v>
      </c>
    </row>
    <row r="80" spans="1:13" x14ac:dyDescent="0.25">
      <c r="A80" s="5">
        <v>45370</v>
      </c>
      <c r="B80" s="3" t="s">
        <v>12</v>
      </c>
      <c r="C80" s="3" t="s">
        <v>9</v>
      </c>
      <c r="D80" s="3" t="s">
        <v>14</v>
      </c>
      <c r="E80" s="3" t="str">
        <f>VLOOKUP(Table1[[#This Row],[Product]],Master!A:C,2,FALSE)</f>
        <v>Office</v>
      </c>
      <c r="F80" s="3">
        <f>VLOOKUP(Table1[[#This Row],[Product]],Master!A:C,3,FALSE)</f>
        <v>15000</v>
      </c>
      <c r="G80" s="3">
        <v>9</v>
      </c>
      <c r="H80" s="3">
        <v>135000</v>
      </c>
      <c r="I80" s="3">
        <v>127003</v>
      </c>
      <c r="J80" s="3" t="str">
        <f>TEXT(Table1[[#This Row],[Date]],"mmm")</f>
        <v>Mar</v>
      </c>
      <c r="K80" s="3">
        <f>YEAR(Table1[[#This Row],[Date]])</f>
        <v>2024</v>
      </c>
      <c r="L80" s="6">
        <f>Table1[[#This Row],[Revenue]]/Table1[[#This Row],[Target]]</f>
        <v>1.0629670165271687</v>
      </c>
      <c r="M80" s="3" t="str">
        <f>IF(Table1[[#This Row],[Achieved %]]&gt;1,"▲","▼")</f>
        <v>▲</v>
      </c>
    </row>
    <row r="81" spans="1:13" x14ac:dyDescent="0.25">
      <c r="A81" s="5">
        <v>45371</v>
      </c>
      <c r="B81" s="3" t="s">
        <v>12</v>
      </c>
      <c r="C81" s="3" t="s">
        <v>22</v>
      </c>
      <c r="D81" s="3" t="s">
        <v>14</v>
      </c>
      <c r="E81" s="3" t="str">
        <f>VLOOKUP(Table1[[#This Row],[Product]],Master!A:C,2,FALSE)</f>
        <v>Office</v>
      </c>
      <c r="F81" s="3">
        <f>VLOOKUP(Table1[[#This Row],[Product]],Master!A:C,3,FALSE)</f>
        <v>15000</v>
      </c>
      <c r="G81" s="3">
        <v>5</v>
      </c>
      <c r="H81" s="3">
        <v>75000</v>
      </c>
      <c r="I81" s="3">
        <v>93361</v>
      </c>
      <c r="J81" s="3" t="str">
        <f>TEXT(Table1[[#This Row],[Date]],"mmm")</f>
        <v>Mar</v>
      </c>
      <c r="K81" s="3">
        <f>YEAR(Table1[[#This Row],[Date]])</f>
        <v>2024</v>
      </c>
      <c r="L81" s="6">
        <f>Table1[[#This Row],[Revenue]]/Table1[[#This Row],[Target]]</f>
        <v>0.80333329762963124</v>
      </c>
      <c r="M81" s="3" t="str">
        <f>IF(Table1[[#This Row],[Achieved %]]&gt;1,"▲","▼")</f>
        <v>▼</v>
      </c>
    </row>
    <row r="82" spans="1:13" x14ac:dyDescent="0.25">
      <c r="A82" s="5">
        <v>45372</v>
      </c>
      <c r="B82" s="3" t="s">
        <v>16</v>
      </c>
      <c r="C82" s="3" t="s">
        <v>13</v>
      </c>
      <c r="D82" s="3" t="s">
        <v>10</v>
      </c>
      <c r="E82" s="3" t="str">
        <f>VLOOKUP(Table1[[#This Row],[Product]],Master!A:C,2,FALSE)</f>
        <v>Electronics</v>
      </c>
      <c r="F82" s="3">
        <f>VLOOKUP(Table1[[#This Row],[Product]],Master!A:C,3,FALSE)</f>
        <v>50000</v>
      </c>
      <c r="G82" s="3">
        <v>9</v>
      </c>
      <c r="H82" s="3">
        <v>450000</v>
      </c>
      <c r="I82" s="3">
        <v>469794</v>
      </c>
      <c r="J82" s="3" t="str">
        <f>TEXT(Table1[[#This Row],[Date]],"mmm")</f>
        <v>Mar</v>
      </c>
      <c r="K82" s="3">
        <f>YEAR(Table1[[#This Row],[Date]])</f>
        <v>2024</v>
      </c>
      <c r="L82" s="6">
        <f>Table1[[#This Row],[Revenue]]/Table1[[#This Row],[Target]]</f>
        <v>0.95786663942068229</v>
      </c>
      <c r="M82" s="3" t="str">
        <f>IF(Table1[[#This Row],[Achieved %]]&gt;1,"▲","▼")</f>
        <v>▼</v>
      </c>
    </row>
    <row r="83" spans="1:13" x14ac:dyDescent="0.25">
      <c r="A83" s="5">
        <v>45373</v>
      </c>
      <c r="B83" s="3" t="s">
        <v>8</v>
      </c>
      <c r="C83" s="3" t="s">
        <v>9</v>
      </c>
      <c r="D83" s="3" t="s">
        <v>10</v>
      </c>
      <c r="E83" s="3" t="str">
        <f>VLOOKUP(Table1[[#This Row],[Product]],Master!A:C,2,FALSE)</f>
        <v>Electronics</v>
      </c>
      <c r="F83" s="3">
        <f>VLOOKUP(Table1[[#This Row],[Product]],Master!A:C,3,FALSE)</f>
        <v>50000</v>
      </c>
      <c r="G83" s="3">
        <v>5</v>
      </c>
      <c r="H83" s="3">
        <v>250000</v>
      </c>
      <c r="I83" s="3">
        <v>232353</v>
      </c>
      <c r="J83" s="3" t="str">
        <f>TEXT(Table1[[#This Row],[Date]],"mmm")</f>
        <v>Mar</v>
      </c>
      <c r="K83" s="3">
        <f>YEAR(Table1[[#This Row],[Date]])</f>
        <v>2024</v>
      </c>
      <c r="L83" s="6">
        <f>Table1[[#This Row],[Revenue]]/Table1[[#This Row],[Target]]</f>
        <v>1.0759490946964316</v>
      </c>
      <c r="M83" s="3" t="str">
        <f>IF(Table1[[#This Row],[Achieved %]]&gt;1,"▲","▼")</f>
        <v>▲</v>
      </c>
    </row>
    <row r="84" spans="1:13" x14ac:dyDescent="0.25">
      <c r="A84" s="5">
        <v>45374</v>
      </c>
      <c r="B84" s="3" t="s">
        <v>16</v>
      </c>
      <c r="C84" s="3" t="s">
        <v>19</v>
      </c>
      <c r="D84" s="3" t="s">
        <v>10</v>
      </c>
      <c r="E84" s="3" t="str">
        <f>VLOOKUP(Table1[[#This Row],[Product]],Master!A:C,2,FALSE)</f>
        <v>Electronics</v>
      </c>
      <c r="F84" s="3">
        <f>VLOOKUP(Table1[[#This Row],[Product]],Master!A:C,3,FALSE)</f>
        <v>50000</v>
      </c>
      <c r="G84" s="3">
        <v>2</v>
      </c>
      <c r="H84" s="3">
        <v>100000</v>
      </c>
      <c r="I84" s="3">
        <v>106981</v>
      </c>
      <c r="J84" s="3" t="str">
        <f>TEXT(Table1[[#This Row],[Date]],"mmm")</f>
        <v>Mar</v>
      </c>
      <c r="K84" s="3">
        <f>YEAR(Table1[[#This Row],[Date]])</f>
        <v>2024</v>
      </c>
      <c r="L84" s="6">
        <f>Table1[[#This Row],[Revenue]]/Table1[[#This Row],[Target]]</f>
        <v>0.93474542208429534</v>
      </c>
      <c r="M84" s="3" t="str">
        <f>IF(Table1[[#This Row],[Achieved %]]&gt;1,"▲","▼")</f>
        <v>▼</v>
      </c>
    </row>
    <row r="85" spans="1:13" x14ac:dyDescent="0.25">
      <c r="A85" s="5">
        <v>45375</v>
      </c>
      <c r="B85" s="3" t="s">
        <v>16</v>
      </c>
      <c r="C85" s="3" t="s">
        <v>19</v>
      </c>
      <c r="D85" s="3" t="s">
        <v>17</v>
      </c>
      <c r="E85" s="3" t="str">
        <f>VLOOKUP(Table1[[#This Row],[Product]],Master!A:C,2,FALSE)</f>
        <v>Electronics</v>
      </c>
      <c r="F85" s="3">
        <f>VLOOKUP(Table1[[#This Row],[Product]],Master!A:C,3,FALSE)</f>
        <v>20000</v>
      </c>
      <c r="G85" s="3">
        <v>2</v>
      </c>
      <c r="H85" s="3">
        <v>40000</v>
      </c>
      <c r="I85" s="3">
        <v>41875</v>
      </c>
      <c r="J85" s="3" t="str">
        <f>TEXT(Table1[[#This Row],[Date]],"mmm")</f>
        <v>Mar</v>
      </c>
      <c r="K85" s="3">
        <f>YEAR(Table1[[#This Row],[Date]])</f>
        <v>2024</v>
      </c>
      <c r="L85" s="6">
        <f>Table1[[#This Row],[Revenue]]/Table1[[#This Row],[Target]]</f>
        <v>0.95522388059701491</v>
      </c>
      <c r="M85" s="3" t="str">
        <f>IF(Table1[[#This Row],[Achieved %]]&gt;1,"▲","▼")</f>
        <v>▼</v>
      </c>
    </row>
    <row r="86" spans="1:13" x14ac:dyDescent="0.25">
      <c r="A86" s="5">
        <v>45376</v>
      </c>
      <c r="B86" s="3" t="s">
        <v>16</v>
      </c>
      <c r="C86" s="3" t="s">
        <v>9</v>
      </c>
      <c r="D86" s="3" t="s">
        <v>21</v>
      </c>
      <c r="E86" s="3" t="str">
        <f>VLOOKUP(Table1[[#This Row],[Product]],Master!A:C,2,FALSE)</f>
        <v>Electronics</v>
      </c>
      <c r="F86" s="3">
        <f>VLOOKUP(Table1[[#This Row],[Product]],Master!A:C,3,FALSE)</f>
        <v>30000</v>
      </c>
      <c r="G86" s="3">
        <v>7</v>
      </c>
      <c r="H86" s="3">
        <v>210000</v>
      </c>
      <c r="I86" s="3">
        <v>192665</v>
      </c>
      <c r="J86" s="3" t="str">
        <f>TEXT(Table1[[#This Row],[Date]],"mmm")</f>
        <v>Mar</v>
      </c>
      <c r="K86" s="3">
        <f>YEAR(Table1[[#This Row],[Date]])</f>
        <v>2024</v>
      </c>
      <c r="L86" s="6">
        <f>Table1[[#This Row],[Revenue]]/Table1[[#This Row],[Target]]</f>
        <v>1.0899748267718579</v>
      </c>
      <c r="M86" s="3" t="str">
        <f>IF(Table1[[#This Row],[Achieved %]]&gt;1,"▲","▼")</f>
        <v>▲</v>
      </c>
    </row>
    <row r="87" spans="1:13" x14ac:dyDescent="0.25">
      <c r="A87" s="5">
        <v>45377</v>
      </c>
      <c r="B87" s="3" t="s">
        <v>18</v>
      </c>
      <c r="C87" s="3" t="s">
        <v>22</v>
      </c>
      <c r="D87" s="3" t="s">
        <v>21</v>
      </c>
      <c r="E87" s="3" t="str">
        <f>VLOOKUP(Table1[[#This Row],[Product]],Master!A:C,2,FALSE)</f>
        <v>Electronics</v>
      </c>
      <c r="F87" s="3">
        <f>VLOOKUP(Table1[[#This Row],[Product]],Master!A:C,3,FALSE)</f>
        <v>30000</v>
      </c>
      <c r="G87" s="3">
        <v>1</v>
      </c>
      <c r="H87" s="3">
        <v>30000</v>
      </c>
      <c r="I87" s="3">
        <v>10851</v>
      </c>
      <c r="J87" s="3" t="str">
        <f>TEXT(Table1[[#This Row],[Date]],"mmm")</f>
        <v>Mar</v>
      </c>
      <c r="K87" s="3">
        <f>YEAR(Table1[[#This Row],[Date]])</f>
        <v>2024</v>
      </c>
      <c r="L87" s="6">
        <f>Table1[[#This Row],[Revenue]]/Table1[[#This Row],[Target]]</f>
        <v>2.7647221454243849</v>
      </c>
      <c r="M87" s="3" t="str">
        <f>IF(Table1[[#This Row],[Achieved %]]&gt;1,"▲","▼")</f>
        <v>▲</v>
      </c>
    </row>
    <row r="88" spans="1:13" x14ac:dyDescent="0.25">
      <c r="A88" s="5">
        <v>45378</v>
      </c>
      <c r="B88" s="3" t="s">
        <v>8</v>
      </c>
      <c r="C88" s="3" t="s">
        <v>20</v>
      </c>
      <c r="D88" s="3" t="s">
        <v>17</v>
      </c>
      <c r="E88" s="3" t="str">
        <f>VLOOKUP(Table1[[#This Row],[Product]],Master!A:C,2,FALSE)</f>
        <v>Electronics</v>
      </c>
      <c r="F88" s="3">
        <f>VLOOKUP(Table1[[#This Row],[Product]],Master!A:C,3,FALSE)</f>
        <v>20000</v>
      </c>
      <c r="G88" s="3">
        <v>5</v>
      </c>
      <c r="H88" s="3">
        <v>100000</v>
      </c>
      <c r="I88" s="3">
        <v>119920</v>
      </c>
      <c r="J88" s="3" t="str">
        <f>TEXT(Table1[[#This Row],[Date]],"mmm")</f>
        <v>Mar</v>
      </c>
      <c r="K88" s="3">
        <f>YEAR(Table1[[#This Row],[Date]])</f>
        <v>2024</v>
      </c>
      <c r="L88" s="6">
        <f>Table1[[#This Row],[Revenue]]/Table1[[#This Row],[Target]]</f>
        <v>0.83388925950633752</v>
      </c>
      <c r="M88" s="3" t="str">
        <f>IF(Table1[[#This Row],[Achieved %]]&gt;1,"▲","▼")</f>
        <v>▼</v>
      </c>
    </row>
    <row r="89" spans="1:13" x14ac:dyDescent="0.25">
      <c r="A89" s="5">
        <v>45379</v>
      </c>
      <c r="B89" s="3" t="s">
        <v>18</v>
      </c>
      <c r="C89" s="3" t="s">
        <v>13</v>
      </c>
      <c r="D89" s="3" t="s">
        <v>17</v>
      </c>
      <c r="E89" s="3" t="str">
        <f>VLOOKUP(Table1[[#This Row],[Product]],Master!A:C,2,FALSE)</f>
        <v>Electronics</v>
      </c>
      <c r="F89" s="3">
        <f>VLOOKUP(Table1[[#This Row],[Product]],Master!A:C,3,FALSE)</f>
        <v>20000</v>
      </c>
      <c r="G89" s="3">
        <v>5</v>
      </c>
      <c r="H89" s="3">
        <v>100000</v>
      </c>
      <c r="I89" s="3">
        <v>113572</v>
      </c>
      <c r="J89" s="3" t="str">
        <f>TEXT(Table1[[#This Row],[Date]],"mmm")</f>
        <v>Mar</v>
      </c>
      <c r="K89" s="3">
        <f>YEAR(Table1[[#This Row],[Date]])</f>
        <v>2024</v>
      </c>
      <c r="L89" s="6">
        <f>Table1[[#This Row],[Revenue]]/Table1[[#This Row],[Target]]</f>
        <v>0.88049871447187689</v>
      </c>
      <c r="M89" s="3" t="str">
        <f>IF(Table1[[#This Row],[Achieved %]]&gt;1,"▲","▼")</f>
        <v>▼</v>
      </c>
    </row>
    <row r="90" spans="1:13" x14ac:dyDescent="0.25">
      <c r="A90" s="5">
        <v>45380</v>
      </c>
      <c r="B90" s="3" t="s">
        <v>8</v>
      </c>
      <c r="C90" s="3" t="s">
        <v>22</v>
      </c>
      <c r="D90" s="3" t="s">
        <v>10</v>
      </c>
      <c r="E90" s="3" t="str">
        <f>VLOOKUP(Table1[[#This Row],[Product]],Master!A:C,2,FALSE)</f>
        <v>Electronics</v>
      </c>
      <c r="F90" s="3">
        <f>VLOOKUP(Table1[[#This Row],[Product]],Master!A:C,3,FALSE)</f>
        <v>50000</v>
      </c>
      <c r="G90" s="3">
        <v>9</v>
      </c>
      <c r="H90" s="3">
        <v>450000</v>
      </c>
      <c r="I90" s="3">
        <v>443867</v>
      </c>
      <c r="J90" s="3" t="str">
        <f>TEXT(Table1[[#This Row],[Date]],"mmm")</f>
        <v>Mar</v>
      </c>
      <c r="K90" s="3">
        <f>YEAR(Table1[[#This Row],[Date]])</f>
        <v>2024</v>
      </c>
      <c r="L90" s="6">
        <f>Table1[[#This Row],[Revenue]]/Table1[[#This Row],[Target]]</f>
        <v>1.013817201999698</v>
      </c>
      <c r="M90" s="3" t="str">
        <f>IF(Table1[[#This Row],[Achieved %]]&gt;1,"▲","▼")</f>
        <v>▲</v>
      </c>
    </row>
    <row r="91" spans="1:13" x14ac:dyDescent="0.25">
      <c r="A91" s="5">
        <v>45381</v>
      </c>
      <c r="B91" s="3" t="s">
        <v>18</v>
      </c>
      <c r="C91" s="3" t="s">
        <v>20</v>
      </c>
      <c r="D91" s="3" t="s">
        <v>21</v>
      </c>
      <c r="E91" s="3" t="str">
        <f>VLOOKUP(Table1[[#This Row],[Product]],Master!A:C,2,FALSE)</f>
        <v>Electronics</v>
      </c>
      <c r="F91" s="3">
        <f>VLOOKUP(Table1[[#This Row],[Product]],Master!A:C,3,FALSE)</f>
        <v>30000</v>
      </c>
      <c r="G91" s="3">
        <v>4</v>
      </c>
      <c r="H91" s="3">
        <v>120000</v>
      </c>
      <c r="I91" s="3">
        <v>135155</v>
      </c>
      <c r="J91" s="3" t="str">
        <f>TEXT(Table1[[#This Row],[Date]],"mmm")</f>
        <v>Mar</v>
      </c>
      <c r="K91" s="3">
        <f>YEAR(Table1[[#This Row],[Date]])</f>
        <v>2024</v>
      </c>
      <c r="L91" s="6">
        <f>Table1[[#This Row],[Revenue]]/Table1[[#This Row],[Target]]</f>
        <v>0.8878694831859717</v>
      </c>
      <c r="M91" s="3" t="str">
        <f>IF(Table1[[#This Row],[Achieved %]]&gt;1,"▲","▼")</f>
        <v>▼</v>
      </c>
    </row>
    <row r="92" spans="1:13" x14ac:dyDescent="0.25">
      <c r="A92" s="5">
        <v>45382</v>
      </c>
      <c r="B92" s="3" t="s">
        <v>8</v>
      </c>
      <c r="C92" s="3" t="s">
        <v>19</v>
      </c>
      <c r="D92" s="3" t="s">
        <v>17</v>
      </c>
      <c r="E92" s="3" t="str">
        <f>VLOOKUP(Table1[[#This Row],[Product]],Master!A:C,2,FALSE)</f>
        <v>Electronics</v>
      </c>
      <c r="F92" s="3">
        <f>VLOOKUP(Table1[[#This Row],[Product]],Master!A:C,3,FALSE)</f>
        <v>20000</v>
      </c>
      <c r="G92" s="3">
        <v>3</v>
      </c>
      <c r="H92" s="3">
        <v>60000</v>
      </c>
      <c r="I92" s="3">
        <v>53537</v>
      </c>
      <c r="J92" s="3" t="str">
        <f>TEXT(Table1[[#This Row],[Date]],"mmm")</f>
        <v>Mar</v>
      </c>
      <c r="K92" s="3">
        <f>YEAR(Table1[[#This Row],[Date]])</f>
        <v>2024</v>
      </c>
      <c r="L92" s="6">
        <f>Table1[[#This Row],[Revenue]]/Table1[[#This Row],[Target]]</f>
        <v>1.1207202495470423</v>
      </c>
      <c r="M92" s="3" t="str">
        <f>IF(Table1[[#This Row],[Achieved %]]&gt;1,"▲","▼")</f>
        <v>▲</v>
      </c>
    </row>
    <row r="93" spans="1:13" x14ac:dyDescent="0.25">
      <c r="A93" s="5">
        <v>45383</v>
      </c>
      <c r="B93" s="3" t="s">
        <v>16</v>
      </c>
      <c r="C93" s="3" t="s">
        <v>9</v>
      </c>
      <c r="D93" s="3" t="s">
        <v>10</v>
      </c>
      <c r="E93" s="3" t="str">
        <f>VLOOKUP(Table1[[#This Row],[Product]],Master!A:C,2,FALSE)</f>
        <v>Electronics</v>
      </c>
      <c r="F93" s="3">
        <f>VLOOKUP(Table1[[#This Row],[Product]],Master!A:C,3,FALSE)</f>
        <v>50000</v>
      </c>
      <c r="G93" s="3">
        <v>5</v>
      </c>
      <c r="H93" s="3">
        <v>250000</v>
      </c>
      <c r="I93" s="3">
        <v>266666</v>
      </c>
      <c r="J93" s="3" t="str">
        <f>TEXT(Table1[[#This Row],[Date]],"mmm")</f>
        <v>Apr</v>
      </c>
      <c r="K93" s="3">
        <f>YEAR(Table1[[#This Row],[Date]])</f>
        <v>2024</v>
      </c>
      <c r="L93" s="6">
        <f>Table1[[#This Row],[Revenue]]/Table1[[#This Row],[Target]]</f>
        <v>0.93750234375585939</v>
      </c>
      <c r="M93" s="3" t="str">
        <f>IF(Table1[[#This Row],[Achieved %]]&gt;1,"▲","▼")</f>
        <v>▼</v>
      </c>
    </row>
    <row r="94" spans="1:13" x14ac:dyDescent="0.25">
      <c r="A94" s="5">
        <v>45384</v>
      </c>
      <c r="B94" s="3" t="s">
        <v>18</v>
      </c>
      <c r="C94" s="3" t="s">
        <v>19</v>
      </c>
      <c r="D94" s="3" t="s">
        <v>10</v>
      </c>
      <c r="E94" s="3" t="str">
        <f>VLOOKUP(Table1[[#This Row],[Product]],Master!A:C,2,FALSE)</f>
        <v>Electronics</v>
      </c>
      <c r="F94" s="3">
        <f>VLOOKUP(Table1[[#This Row],[Product]],Master!A:C,3,FALSE)</f>
        <v>50000</v>
      </c>
      <c r="G94" s="3">
        <v>8</v>
      </c>
      <c r="H94" s="3">
        <v>400000</v>
      </c>
      <c r="I94" s="3">
        <v>405274</v>
      </c>
      <c r="J94" s="3" t="str">
        <f>TEXT(Table1[[#This Row],[Date]],"mmm")</f>
        <v>Apr</v>
      </c>
      <c r="K94" s="3">
        <f>YEAR(Table1[[#This Row],[Date]])</f>
        <v>2024</v>
      </c>
      <c r="L94" s="6">
        <f>Table1[[#This Row],[Revenue]]/Table1[[#This Row],[Target]]</f>
        <v>0.98698658191741884</v>
      </c>
      <c r="M94" s="3" t="str">
        <f>IF(Table1[[#This Row],[Achieved %]]&gt;1,"▲","▼")</f>
        <v>▼</v>
      </c>
    </row>
    <row r="95" spans="1:13" x14ac:dyDescent="0.25">
      <c r="A95" s="5">
        <v>45385</v>
      </c>
      <c r="B95" s="3" t="s">
        <v>16</v>
      </c>
      <c r="C95" s="3" t="s">
        <v>13</v>
      </c>
      <c r="D95" s="3" t="s">
        <v>17</v>
      </c>
      <c r="E95" s="3" t="str">
        <f>VLOOKUP(Table1[[#This Row],[Product]],Master!A:C,2,FALSE)</f>
        <v>Electronics</v>
      </c>
      <c r="F95" s="3">
        <f>VLOOKUP(Table1[[#This Row],[Product]],Master!A:C,3,FALSE)</f>
        <v>20000</v>
      </c>
      <c r="G95" s="3">
        <v>7</v>
      </c>
      <c r="H95" s="3">
        <v>140000</v>
      </c>
      <c r="I95" s="3">
        <v>125346</v>
      </c>
      <c r="J95" s="3" t="str">
        <f>TEXT(Table1[[#This Row],[Date]],"mmm")</f>
        <v>Apr</v>
      </c>
      <c r="K95" s="3">
        <f>YEAR(Table1[[#This Row],[Date]])</f>
        <v>2024</v>
      </c>
      <c r="L95" s="6">
        <f>Table1[[#This Row],[Revenue]]/Table1[[#This Row],[Target]]</f>
        <v>1.1169083975555663</v>
      </c>
      <c r="M95" s="3" t="str">
        <f>IF(Table1[[#This Row],[Achieved %]]&gt;1,"▲","▼")</f>
        <v>▲</v>
      </c>
    </row>
    <row r="96" spans="1:13" x14ac:dyDescent="0.25">
      <c r="A96" s="5">
        <v>45386</v>
      </c>
      <c r="B96" s="3" t="s">
        <v>18</v>
      </c>
      <c r="C96" s="3" t="s">
        <v>20</v>
      </c>
      <c r="D96" s="3" t="s">
        <v>10</v>
      </c>
      <c r="E96" s="3" t="str">
        <f>VLOOKUP(Table1[[#This Row],[Product]],Master!A:C,2,FALSE)</f>
        <v>Electronics</v>
      </c>
      <c r="F96" s="3">
        <f>VLOOKUP(Table1[[#This Row],[Product]],Master!A:C,3,FALSE)</f>
        <v>50000</v>
      </c>
      <c r="G96" s="3">
        <v>2</v>
      </c>
      <c r="H96" s="3">
        <v>100000</v>
      </c>
      <c r="I96" s="3">
        <v>103836</v>
      </c>
      <c r="J96" s="3" t="str">
        <f>TEXT(Table1[[#This Row],[Date]],"mmm")</f>
        <v>Apr</v>
      </c>
      <c r="K96" s="3">
        <f>YEAR(Table1[[#This Row],[Date]])</f>
        <v>2024</v>
      </c>
      <c r="L96" s="6">
        <f>Table1[[#This Row],[Revenue]]/Table1[[#This Row],[Target]]</f>
        <v>0.96305712854886549</v>
      </c>
      <c r="M96" s="3" t="str">
        <f>IF(Table1[[#This Row],[Achieved %]]&gt;1,"▲","▼")</f>
        <v>▼</v>
      </c>
    </row>
    <row r="97" spans="1:13" x14ac:dyDescent="0.25">
      <c r="A97" s="5">
        <v>45387</v>
      </c>
      <c r="B97" s="3" t="s">
        <v>8</v>
      </c>
      <c r="C97" s="3" t="s">
        <v>9</v>
      </c>
      <c r="D97" s="3" t="s">
        <v>10</v>
      </c>
      <c r="E97" s="3" t="str">
        <f>VLOOKUP(Table1[[#This Row],[Product]],Master!A:C,2,FALSE)</f>
        <v>Electronics</v>
      </c>
      <c r="F97" s="3">
        <f>VLOOKUP(Table1[[#This Row],[Product]],Master!A:C,3,FALSE)</f>
        <v>50000</v>
      </c>
      <c r="G97" s="3">
        <v>9</v>
      </c>
      <c r="H97" s="3">
        <v>450000</v>
      </c>
      <c r="I97" s="3">
        <v>467229</v>
      </c>
      <c r="J97" s="3" t="str">
        <f>TEXT(Table1[[#This Row],[Date]],"mmm")</f>
        <v>Apr</v>
      </c>
      <c r="K97" s="3">
        <f>YEAR(Table1[[#This Row],[Date]])</f>
        <v>2024</v>
      </c>
      <c r="L97" s="6">
        <f>Table1[[#This Row],[Revenue]]/Table1[[#This Row],[Target]]</f>
        <v>0.96312514848179376</v>
      </c>
      <c r="M97" s="3" t="str">
        <f>IF(Table1[[#This Row],[Achieved %]]&gt;1,"▲","▼")</f>
        <v>▼</v>
      </c>
    </row>
    <row r="98" spans="1:13" x14ac:dyDescent="0.25">
      <c r="A98" s="5">
        <v>45388</v>
      </c>
      <c r="B98" s="3" t="s">
        <v>16</v>
      </c>
      <c r="C98" s="3" t="s">
        <v>13</v>
      </c>
      <c r="D98" s="3" t="s">
        <v>17</v>
      </c>
      <c r="E98" s="3" t="str">
        <f>VLOOKUP(Table1[[#This Row],[Product]],Master!A:C,2,FALSE)</f>
        <v>Electronics</v>
      </c>
      <c r="F98" s="3">
        <f>VLOOKUP(Table1[[#This Row],[Product]],Master!A:C,3,FALSE)</f>
        <v>20000</v>
      </c>
      <c r="G98" s="3">
        <v>6</v>
      </c>
      <c r="H98" s="3">
        <v>120000</v>
      </c>
      <c r="I98" s="3">
        <v>134439</v>
      </c>
      <c r="J98" s="3" t="str">
        <f>TEXT(Table1[[#This Row],[Date]],"mmm")</f>
        <v>Apr</v>
      </c>
      <c r="K98" s="3">
        <f>YEAR(Table1[[#This Row],[Date]])</f>
        <v>2024</v>
      </c>
      <c r="L98" s="6">
        <f>Table1[[#This Row],[Revenue]]/Table1[[#This Row],[Target]]</f>
        <v>0.89259813000691768</v>
      </c>
      <c r="M98" s="3" t="str">
        <f>IF(Table1[[#This Row],[Achieved %]]&gt;1,"▲","▼")</f>
        <v>▼</v>
      </c>
    </row>
    <row r="99" spans="1:13" x14ac:dyDescent="0.25">
      <c r="A99" s="5">
        <v>45389</v>
      </c>
      <c r="B99" s="3" t="s">
        <v>18</v>
      </c>
      <c r="C99" s="3" t="s">
        <v>19</v>
      </c>
      <c r="D99" s="3" t="s">
        <v>21</v>
      </c>
      <c r="E99" s="3" t="str">
        <f>VLOOKUP(Table1[[#This Row],[Product]],Master!A:C,2,FALSE)</f>
        <v>Electronics</v>
      </c>
      <c r="F99" s="3">
        <f>VLOOKUP(Table1[[#This Row],[Product]],Master!A:C,3,FALSE)</f>
        <v>30000</v>
      </c>
      <c r="G99" s="3">
        <v>5</v>
      </c>
      <c r="H99" s="3">
        <v>150000</v>
      </c>
      <c r="I99" s="3">
        <v>145835</v>
      </c>
      <c r="J99" s="3" t="str">
        <f>TEXT(Table1[[#This Row],[Date]],"mmm")</f>
        <v>Apr</v>
      </c>
      <c r="K99" s="3">
        <f>YEAR(Table1[[#This Row],[Date]])</f>
        <v>2024</v>
      </c>
      <c r="L99" s="6">
        <f>Table1[[#This Row],[Revenue]]/Table1[[#This Row],[Target]]</f>
        <v>1.0285596736037304</v>
      </c>
      <c r="M99" s="3" t="str">
        <f>IF(Table1[[#This Row],[Achieved %]]&gt;1,"▲","▼")</f>
        <v>▲</v>
      </c>
    </row>
    <row r="100" spans="1:13" x14ac:dyDescent="0.25">
      <c r="A100" s="5">
        <v>45390</v>
      </c>
      <c r="B100" s="3" t="s">
        <v>8</v>
      </c>
      <c r="C100" s="3" t="s">
        <v>13</v>
      </c>
      <c r="D100" s="3" t="s">
        <v>21</v>
      </c>
      <c r="E100" s="3" t="str">
        <f>VLOOKUP(Table1[[#This Row],[Product]],Master!A:C,2,FALSE)</f>
        <v>Electronics</v>
      </c>
      <c r="F100" s="3">
        <f>VLOOKUP(Table1[[#This Row],[Product]],Master!A:C,3,FALSE)</f>
        <v>30000</v>
      </c>
      <c r="G100" s="3">
        <v>5</v>
      </c>
      <c r="H100" s="3">
        <v>150000</v>
      </c>
      <c r="I100" s="3">
        <v>156951</v>
      </c>
      <c r="J100" s="3" t="str">
        <f>TEXT(Table1[[#This Row],[Date]],"mmm")</f>
        <v>Apr</v>
      </c>
      <c r="K100" s="3">
        <f>YEAR(Table1[[#This Row],[Date]])</f>
        <v>2024</v>
      </c>
      <c r="L100" s="6">
        <f>Table1[[#This Row],[Revenue]]/Table1[[#This Row],[Target]]</f>
        <v>0.95571229237150446</v>
      </c>
      <c r="M100" s="3" t="str">
        <f>IF(Table1[[#This Row],[Achieved %]]&gt;1,"▲","▼")</f>
        <v>▼</v>
      </c>
    </row>
    <row r="101" spans="1:13" x14ac:dyDescent="0.25">
      <c r="A101" s="5">
        <v>45391</v>
      </c>
      <c r="B101" s="3" t="s">
        <v>18</v>
      </c>
      <c r="C101" s="3" t="s">
        <v>19</v>
      </c>
      <c r="D101" s="3" t="s">
        <v>17</v>
      </c>
      <c r="E101" s="3" t="str">
        <f>VLOOKUP(Table1[[#This Row],[Product]],Master!A:C,2,FALSE)</f>
        <v>Electronics</v>
      </c>
      <c r="F101" s="3">
        <f>VLOOKUP(Table1[[#This Row],[Product]],Master!A:C,3,FALSE)</f>
        <v>20000</v>
      </c>
      <c r="G101" s="3">
        <v>4</v>
      </c>
      <c r="H101" s="3">
        <v>80000</v>
      </c>
      <c r="I101" s="3">
        <v>84028</v>
      </c>
      <c r="J101" s="3" t="str">
        <f>TEXT(Table1[[#This Row],[Date]],"mmm")</f>
        <v>Apr</v>
      </c>
      <c r="K101" s="3">
        <f>YEAR(Table1[[#This Row],[Date]])</f>
        <v>2024</v>
      </c>
      <c r="L101" s="6">
        <f>Table1[[#This Row],[Revenue]]/Table1[[#This Row],[Target]]</f>
        <v>0.95206359784833627</v>
      </c>
      <c r="M101" s="3" t="str">
        <f>IF(Table1[[#This Row],[Achieved %]]&gt;1,"▲","▼")</f>
        <v>▼</v>
      </c>
    </row>
    <row r="102" spans="1:13" x14ac:dyDescent="0.25">
      <c r="A102" s="5">
        <v>45392</v>
      </c>
      <c r="B102" s="3" t="s">
        <v>8</v>
      </c>
      <c r="C102" s="3" t="s">
        <v>9</v>
      </c>
      <c r="D102" s="3" t="s">
        <v>21</v>
      </c>
      <c r="E102" s="3" t="str">
        <f>VLOOKUP(Table1[[#This Row],[Product]],Master!A:C,2,FALSE)</f>
        <v>Electronics</v>
      </c>
      <c r="F102" s="3">
        <f>VLOOKUP(Table1[[#This Row],[Product]],Master!A:C,3,FALSE)</f>
        <v>30000</v>
      </c>
      <c r="G102" s="3">
        <v>1</v>
      </c>
      <c r="H102" s="3">
        <v>30000</v>
      </c>
      <c r="I102" s="3">
        <v>17528</v>
      </c>
      <c r="J102" s="3" t="str">
        <f>TEXT(Table1[[#This Row],[Date]],"mmm")</f>
        <v>Apr</v>
      </c>
      <c r="K102" s="3">
        <f>YEAR(Table1[[#This Row],[Date]])</f>
        <v>2024</v>
      </c>
      <c r="L102" s="6">
        <f>Table1[[#This Row],[Revenue]]/Table1[[#This Row],[Target]]</f>
        <v>1.7115472387037882</v>
      </c>
      <c r="M102" s="3" t="str">
        <f>IF(Table1[[#This Row],[Achieved %]]&gt;1,"▲","▼")</f>
        <v>▲</v>
      </c>
    </row>
    <row r="103" spans="1:13" x14ac:dyDescent="0.25">
      <c r="A103" s="5">
        <v>45393</v>
      </c>
      <c r="B103" s="3" t="s">
        <v>8</v>
      </c>
      <c r="C103" s="3" t="s">
        <v>13</v>
      </c>
      <c r="D103" s="3" t="s">
        <v>21</v>
      </c>
      <c r="E103" s="3" t="str">
        <f>VLOOKUP(Table1[[#This Row],[Product]],Master!A:C,2,FALSE)</f>
        <v>Electronics</v>
      </c>
      <c r="F103" s="3">
        <f>VLOOKUP(Table1[[#This Row],[Product]],Master!A:C,3,FALSE)</f>
        <v>30000</v>
      </c>
      <c r="G103" s="3">
        <v>4</v>
      </c>
      <c r="H103" s="3">
        <v>120000</v>
      </c>
      <c r="I103" s="3">
        <v>127362</v>
      </c>
      <c r="J103" s="3" t="str">
        <f>TEXT(Table1[[#This Row],[Date]],"mmm")</f>
        <v>Apr</v>
      </c>
      <c r="K103" s="3">
        <f>YEAR(Table1[[#This Row],[Date]])</f>
        <v>2024</v>
      </c>
      <c r="L103" s="6">
        <f>Table1[[#This Row],[Revenue]]/Table1[[#This Row],[Target]]</f>
        <v>0.94219625948084984</v>
      </c>
      <c r="M103" s="3" t="str">
        <f>IF(Table1[[#This Row],[Achieved %]]&gt;1,"▲","▼")</f>
        <v>▼</v>
      </c>
    </row>
    <row r="104" spans="1:13" x14ac:dyDescent="0.25">
      <c r="A104" s="5">
        <v>45394</v>
      </c>
      <c r="B104" s="3" t="s">
        <v>12</v>
      </c>
      <c r="C104" s="3" t="s">
        <v>9</v>
      </c>
      <c r="D104" s="3" t="s">
        <v>14</v>
      </c>
      <c r="E104" s="3" t="str">
        <f>VLOOKUP(Table1[[#This Row],[Product]],Master!A:C,2,FALSE)</f>
        <v>Office</v>
      </c>
      <c r="F104" s="3">
        <f>VLOOKUP(Table1[[#This Row],[Product]],Master!A:C,3,FALSE)</f>
        <v>15000</v>
      </c>
      <c r="G104" s="3">
        <v>1</v>
      </c>
      <c r="H104" s="3">
        <v>15000</v>
      </c>
      <c r="I104" s="3">
        <v>22763</v>
      </c>
      <c r="J104" s="3" t="str">
        <f>TEXT(Table1[[#This Row],[Date]],"mmm")</f>
        <v>Apr</v>
      </c>
      <c r="K104" s="3">
        <f>YEAR(Table1[[#This Row],[Date]])</f>
        <v>2024</v>
      </c>
      <c r="L104" s="6">
        <f>Table1[[#This Row],[Revenue]]/Table1[[#This Row],[Target]]</f>
        <v>0.65896410842156128</v>
      </c>
      <c r="M104" s="3" t="str">
        <f>IF(Table1[[#This Row],[Achieved %]]&gt;1,"▲","▼")</f>
        <v>▼</v>
      </c>
    </row>
    <row r="105" spans="1:13" x14ac:dyDescent="0.25">
      <c r="A105" s="5">
        <v>45395</v>
      </c>
      <c r="B105" s="3" t="s">
        <v>16</v>
      </c>
      <c r="C105" s="3" t="s">
        <v>22</v>
      </c>
      <c r="D105" s="3" t="s">
        <v>10</v>
      </c>
      <c r="E105" s="3" t="str">
        <f>VLOOKUP(Table1[[#This Row],[Product]],Master!A:C,2,FALSE)</f>
        <v>Electronics</v>
      </c>
      <c r="F105" s="3">
        <f>VLOOKUP(Table1[[#This Row],[Product]],Master!A:C,3,FALSE)</f>
        <v>50000</v>
      </c>
      <c r="G105" s="3">
        <v>3</v>
      </c>
      <c r="H105" s="3">
        <v>150000</v>
      </c>
      <c r="I105" s="3">
        <v>140413</v>
      </c>
      <c r="J105" s="3" t="str">
        <f>TEXT(Table1[[#This Row],[Date]],"mmm")</f>
        <v>Apr</v>
      </c>
      <c r="K105" s="3">
        <f>YEAR(Table1[[#This Row],[Date]])</f>
        <v>2024</v>
      </c>
      <c r="L105" s="6">
        <f>Table1[[#This Row],[Revenue]]/Table1[[#This Row],[Target]]</f>
        <v>1.0682771538247884</v>
      </c>
      <c r="M105" s="3" t="str">
        <f>IF(Table1[[#This Row],[Achieved %]]&gt;1,"▲","▼")</f>
        <v>▲</v>
      </c>
    </row>
    <row r="106" spans="1:13" x14ac:dyDescent="0.25">
      <c r="A106" s="5">
        <v>45396</v>
      </c>
      <c r="B106" s="3" t="s">
        <v>12</v>
      </c>
      <c r="C106" s="3" t="s">
        <v>22</v>
      </c>
      <c r="D106" s="3" t="s">
        <v>17</v>
      </c>
      <c r="E106" s="3" t="str">
        <f>VLOOKUP(Table1[[#This Row],[Product]],Master!A:C,2,FALSE)</f>
        <v>Electronics</v>
      </c>
      <c r="F106" s="3">
        <f>VLOOKUP(Table1[[#This Row],[Product]],Master!A:C,3,FALSE)</f>
        <v>20000</v>
      </c>
      <c r="G106" s="3">
        <v>2</v>
      </c>
      <c r="H106" s="3">
        <v>40000</v>
      </c>
      <c r="I106" s="3">
        <v>55235</v>
      </c>
      <c r="J106" s="3" t="str">
        <f>TEXT(Table1[[#This Row],[Date]],"mmm")</f>
        <v>Apr</v>
      </c>
      <c r="K106" s="3">
        <f>YEAR(Table1[[#This Row],[Date]])</f>
        <v>2024</v>
      </c>
      <c r="L106" s="6">
        <f>Table1[[#This Row],[Revenue]]/Table1[[#This Row],[Target]]</f>
        <v>0.72417851000271571</v>
      </c>
      <c r="M106" s="3" t="str">
        <f>IF(Table1[[#This Row],[Achieved %]]&gt;1,"▲","▼")</f>
        <v>▼</v>
      </c>
    </row>
    <row r="107" spans="1:13" x14ac:dyDescent="0.25">
      <c r="A107" s="5">
        <v>45397</v>
      </c>
      <c r="B107" s="3" t="s">
        <v>16</v>
      </c>
      <c r="C107" s="3" t="s">
        <v>22</v>
      </c>
      <c r="D107" s="3" t="s">
        <v>17</v>
      </c>
      <c r="E107" s="3" t="str">
        <f>VLOOKUP(Table1[[#This Row],[Product]],Master!A:C,2,FALSE)</f>
        <v>Electronics</v>
      </c>
      <c r="F107" s="3">
        <f>VLOOKUP(Table1[[#This Row],[Product]],Master!A:C,3,FALSE)</f>
        <v>20000</v>
      </c>
      <c r="G107" s="3">
        <v>8</v>
      </c>
      <c r="H107" s="3">
        <v>160000</v>
      </c>
      <c r="I107" s="3">
        <v>156036</v>
      </c>
      <c r="J107" s="3" t="str">
        <f>TEXT(Table1[[#This Row],[Date]],"mmm")</f>
        <v>Apr</v>
      </c>
      <c r="K107" s="3">
        <f>YEAR(Table1[[#This Row],[Date]])</f>
        <v>2024</v>
      </c>
      <c r="L107" s="6">
        <f>Table1[[#This Row],[Revenue]]/Table1[[#This Row],[Target]]</f>
        <v>1.0254043938578277</v>
      </c>
      <c r="M107" s="3" t="str">
        <f>IF(Table1[[#This Row],[Achieved %]]&gt;1,"▲","▼")</f>
        <v>▲</v>
      </c>
    </row>
    <row r="108" spans="1:13" x14ac:dyDescent="0.25">
      <c r="A108" s="5">
        <v>45398</v>
      </c>
      <c r="B108" s="3" t="s">
        <v>12</v>
      </c>
      <c r="C108" s="3" t="s">
        <v>20</v>
      </c>
      <c r="D108" s="3" t="s">
        <v>17</v>
      </c>
      <c r="E108" s="3" t="str">
        <f>VLOOKUP(Table1[[#This Row],[Product]],Master!A:C,2,FALSE)</f>
        <v>Electronics</v>
      </c>
      <c r="F108" s="3">
        <f>VLOOKUP(Table1[[#This Row],[Product]],Master!A:C,3,FALSE)</f>
        <v>20000</v>
      </c>
      <c r="G108" s="3">
        <v>3</v>
      </c>
      <c r="H108" s="3">
        <v>60000</v>
      </c>
      <c r="I108" s="3">
        <v>63757</v>
      </c>
      <c r="J108" s="3" t="str">
        <f>TEXT(Table1[[#This Row],[Date]],"mmm")</f>
        <v>Apr</v>
      </c>
      <c r="K108" s="3">
        <f>YEAR(Table1[[#This Row],[Date]])</f>
        <v>2024</v>
      </c>
      <c r="L108" s="6">
        <f>Table1[[#This Row],[Revenue]]/Table1[[#This Row],[Target]]</f>
        <v>0.94107313706730245</v>
      </c>
      <c r="M108" s="3" t="str">
        <f>IF(Table1[[#This Row],[Achieved %]]&gt;1,"▲","▼")</f>
        <v>▼</v>
      </c>
    </row>
    <row r="109" spans="1:13" x14ac:dyDescent="0.25">
      <c r="A109" s="5">
        <v>45399</v>
      </c>
      <c r="B109" s="3" t="s">
        <v>12</v>
      </c>
      <c r="C109" s="3" t="s">
        <v>22</v>
      </c>
      <c r="D109" s="3" t="s">
        <v>14</v>
      </c>
      <c r="E109" s="3" t="str">
        <f>VLOOKUP(Table1[[#This Row],[Product]],Master!A:C,2,FALSE)</f>
        <v>Office</v>
      </c>
      <c r="F109" s="3">
        <f>VLOOKUP(Table1[[#This Row],[Product]],Master!A:C,3,FALSE)</f>
        <v>15000</v>
      </c>
      <c r="G109" s="3">
        <v>8</v>
      </c>
      <c r="H109" s="3">
        <v>120000</v>
      </c>
      <c r="I109" s="3">
        <v>134330</v>
      </c>
      <c r="J109" s="3" t="str">
        <f>TEXT(Table1[[#This Row],[Date]],"mmm")</f>
        <v>Apr</v>
      </c>
      <c r="K109" s="3">
        <f>YEAR(Table1[[#This Row],[Date]])</f>
        <v>2024</v>
      </c>
      <c r="L109" s="6">
        <f>Table1[[#This Row],[Revenue]]/Table1[[#This Row],[Target]]</f>
        <v>0.8933224149482617</v>
      </c>
      <c r="M109" s="3" t="str">
        <f>IF(Table1[[#This Row],[Achieved %]]&gt;1,"▲","▼")</f>
        <v>▼</v>
      </c>
    </row>
    <row r="110" spans="1:13" x14ac:dyDescent="0.25">
      <c r="A110" s="5">
        <v>45400</v>
      </c>
      <c r="B110" s="3" t="s">
        <v>8</v>
      </c>
      <c r="C110" s="3" t="s">
        <v>13</v>
      </c>
      <c r="D110" s="3" t="s">
        <v>14</v>
      </c>
      <c r="E110" s="3" t="str">
        <f>VLOOKUP(Table1[[#This Row],[Product]],Master!A:C,2,FALSE)</f>
        <v>Office</v>
      </c>
      <c r="F110" s="3">
        <f>VLOOKUP(Table1[[#This Row],[Product]],Master!A:C,3,FALSE)</f>
        <v>15000</v>
      </c>
      <c r="G110" s="3">
        <v>3</v>
      </c>
      <c r="H110" s="3">
        <v>45000</v>
      </c>
      <c r="I110" s="3">
        <v>53250</v>
      </c>
      <c r="J110" s="3" t="str">
        <f>TEXT(Table1[[#This Row],[Date]],"mmm")</f>
        <v>Apr</v>
      </c>
      <c r="K110" s="3">
        <f>YEAR(Table1[[#This Row],[Date]])</f>
        <v>2024</v>
      </c>
      <c r="L110" s="6">
        <f>Table1[[#This Row],[Revenue]]/Table1[[#This Row],[Target]]</f>
        <v>0.84507042253521125</v>
      </c>
      <c r="M110" s="3" t="str">
        <f>IF(Table1[[#This Row],[Achieved %]]&gt;1,"▲","▼")</f>
        <v>▼</v>
      </c>
    </row>
    <row r="111" spans="1:13" x14ac:dyDescent="0.25">
      <c r="A111" s="5">
        <v>45401</v>
      </c>
      <c r="B111" s="3" t="s">
        <v>12</v>
      </c>
      <c r="C111" s="3" t="s">
        <v>19</v>
      </c>
      <c r="D111" s="3" t="s">
        <v>17</v>
      </c>
      <c r="E111" s="3" t="str">
        <f>VLOOKUP(Table1[[#This Row],[Product]],Master!A:C,2,FALSE)</f>
        <v>Electronics</v>
      </c>
      <c r="F111" s="3">
        <f>VLOOKUP(Table1[[#This Row],[Product]],Master!A:C,3,FALSE)</f>
        <v>20000</v>
      </c>
      <c r="G111" s="3">
        <v>9</v>
      </c>
      <c r="H111" s="3">
        <v>180000</v>
      </c>
      <c r="I111" s="3">
        <v>164736</v>
      </c>
      <c r="J111" s="3" t="str">
        <f>TEXT(Table1[[#This Row],[Date]],"mmm")</f>
        <v>Apr</v>
      </c>
      <c r="K111" s="3">
        <f>YEAR(Table1[[#This Row],[Date]])</f>
        <v>2024</v>
      </c>
      <c r="L111" s="6">
        <f>Table1[[#This Row],[Revenue]]/Table1[[#This Row],[Target]]</f>
        <v>1.0926573426573427</v>
      </c>
      <c r="M111" s="3" t="str">
        <f>IF(Table1[[#This Row],[Achieved %]]&gt;1,"▲","▼")</f>
        <v>▲</v>
      </c>
    </row>
    <row r="112" spans="1:13" x14ac:dyDescent="0.25">
      <c r="A112" s="5">
        <v>45402</v>
      </c>
      <c r="B112" s="3" t="s">
        <v>12</v>
      </c>
      <c r="C112" s="3" t="s">
        <v>9</v>
      </c>
      <c r="D112" s="3" t="s">
        <v>17</v>
      </c>
      <c r="E112" s="3" t="str">
        <f>VLOOKUP(Table1[[#This Row],[Product]],Master!A:C,2,FALSE)</f>
        <v>Electronics</v>
      </c>
      <c r="F112" s="3">
        <f>VLOOKUP(Table1[[#This Row],[Product]],Master!A:C,3,FALSE)</f>
        <v>20000</v>
      </c>
      <c r="G112" s="3">
        <v>8</v>
      </c>
      <c r="H112" s="3">
        <v>160000</v>
      </c>
      <c r="I112" s="3">
        <v>144702</v>
      </c>
      <c r="J112" s="3" t="str">
        <f>TEXT(Table1[[#This Row],[Date]],"mmm")</f>
        <v>Apr</v>
      </c>
      <c r="K112" s="3">
        <f>YEAR(Table1[[#This Row],[Date]])</f>
        <v>2024</v>
      </c>
      <c r="L112" s="6">
        <f>Table1[[#This Row],[Revenue]]/Table1[[#This Row],[Target]]</f>
        <v>1.1057207225884922</v>
      </c>
      <c r="M112" s="3" t="str">
        <f>IF(Table1[[#This Row],[Achieved %]]&gt;1,"▲","▼")</f>
        <v>▲</v>
      </c>
    </row>
    <row r="113" spans="1:13" x14ac:dyDescent="0.25">
      <c r="A113" s="5">
        <v>45403</v>
      </c>
      <c r="B113" s="3" t="s">
        <v>12</v>
      </c>
      <c r="C113" s="3" t="s">
        <v>22</v>
      </c>
      <c r="D113" s="3" t="s">
        <v>21</v>
      </c>
      <c r="E113" s="3" t="str">
        <f>VLOOKUP(Table1[[#This Row],[Product]],Master!A:C,2,FALSE)</f>
        <v>Electronics</v>
      </c>
      <c r="F113" s="3">
        <f>VLOOKUP(Table1[[#This Row],[Product]],Master!A:C,3,FALSE)</f>
        <v>30000</v>
      </c>
      <c r="G113" s="3">
        <v>6</v>
      </c>
      <c r="H113" s="3">
        <v>180000</v>
      </c>
      <c r="I113" s="3">
        <v>162987</v>
      </c>
      <c r="J113" s="3" t="str">
        <f>TEXT(Table1[[#This Row],[Date]],"mmm")</f>
        <v>Apr</v>
      </c>
      <c r="K113" s="3">
        <f>YEAR(Table1[[#This Row],[Date]])</f>
        <v>2024</v>
      </c>
      <c r="L113" s="6">
        <f>Table1[[#This Row],[Revenue]]/Table1[[#This Row],[Target]]</f>
        <v>1.1043825581181321</v>
      </c>
      <c r="M113" s="3" t="str">
        <f>IF(Table1[[#This Row],[Achieved %]]&gt;1,"▲","▼")</f>
        <v>▲</v>
      </c>
    </row>
    <row r="114" spans="1:13" x14ac:dyDescent="0.25">
      <c r="A114" s="5">
        <v>45404</v>
      </c>
      <c r="B114" s="3" t="s">
        <v>12</v>
      </c>
      <c r="C114" s="3" t="s">
        <v>19</v>
      </c>
      <c r="D114" s="3" t="s">
        <v>17</v>
      </c>
      <c r="E114" s="3" t="str">
        <f>VLOOKUP(Table1[[#This Row],[Product]],Master!A:C,2,FALSE)</f>
        <v>Electronics</v>
      </c>
      <c r="F114" s="3">
        <f>VLOOKUP(Table1[[#This Row],[Product]],Master!A:C,3,FALSE)</f>
        <v>20000</v>
      </c>
      <c r="G114" s="3">
        <v>3</v>
      </c>
      <c r="H114" s="3">
        <v>60000</v>
      </c>
      <c r="I114" s="3">
        <v>51100</v>
      </c>
      <c r="J114" s="3" t="str">
        <f>TEXT(Table1[[#This Row],[Date]],"mmm")</f>
        <v>Apr</v>
      </c>
      <c r="K114" s="3">
        <f>YEAR(Table1[[#This Row],[Date]])</f>
        <v>2024</v>
      </c>
      <c r="L114" s="6">
        <f>Table1[[#This Row],[Revenue]]/Table1[[#This Row],[Target]]</f>
        <v>1.1741682974559686</v>
      </c>
      <c r="M114" s="3" t="str">
        <f>IF(Table1[[#This Row],[Achieved %]]&gt;1,"▲","▼")</f>
        <v>▲</v>
      </c>
    </row>
    <row r="115" spans="1:13" x14ac:dyDescent="0.25">
      <c r="A115" s="5">
        <v>45405</v>
      </c>
      <c r="B115" s="3" t="s">
        <v>12</v>
      </c>
      <c r="C115" s="3" t="s">
        <v>22</v>
      </c>
      <c r="D115" s="3" t="s">
        <v>21</v>
      </c>
      <c r="E115" s="3" t="str">
        <f>VLOOKUP(Table1[[#This Row],[Product]],Master!A:C,2,FALSE)</f>
        <v>Electronics</v>
      </c>
      <c r="F115" s="3">
        <f>VLOOKUP(Table1[[#This Row],[Product]],Master!A:C,3,FALSE)</f>
        <v>30000</v>
      </c>
      <c r="G115" s="3">
        <v>5</v>
      </c>
      <c r="H115" s="3">
        <v>150000</v>
      </c>
      <c r="I115" s="3">
        <v>140461</v>
      </c>
      <c r="J115" s="3" t="str">
        <f>TEXT(Table1[[#This Row],[Date]],"mmm")</f>
        <v>Apr</v>
      </c>
      <c r="K115" s="3">
        <f>YEAR(Table1[[#This Row],[Date]])</f>
        <v>2024</v>
      </c>
      <c r="L115" s="6">
        <f>Table1[[#This Row],[Revenue]]/Table1[[#This Row],[Target]]</f>
        <v>1.0679120894767942</v>
      </c>
      <c r="M115" s="3" t="str">
        <f>IF(Table1[[#This Row],[Achieved %]]&gt;1,"▲","▼")</f>
        <v>▲</v>
      </c>
    </row>
    <row r="116" spans="1:13" x14ac:dyDescent="0.25">
      <c r="A116" s="5">
        <v>45406</v>
      </c>
      <c r="B116" s="3" t="s">
        <v>18</v>
      </c>
      <c r="C116" s="3" t="s">
        <v>13</v>
      </c>
      <c r="D116" s="3" t="s">
        <v>21</v>
      </c>
      <c r="E116" s="3" t="str">
        <f>VLOOKUP(Table1[[#This Row],[Product]],Master!A:C,2,FALSE)</f>
        <v>Electronics</v>
      </c>
      <c r="F116" s="3">
        <f>VLOOKUP(Table1[[#This Row],[Product]],Master!A:C,3,FALSE)</f>
        <v>30000</v>
      </c>
      <c r="G116" s="3">
        <v>3</v>
      </c>
      <c r="H116" s="3">
        <v>90000</v>
      </c>
      <c r="I116" s="3">
        <v>90129</v>
      </c>
      <c r="J116" s="3" t="str">
        <f>TEXT(Table1[[#This Row],[Date]],"mmm")</f>
        <v>Apr</v>
      </c>
      <c r="K116" s="3">
        <f>YEAR(Table1[[#This Row],[Date]])</f>
        <v>2024</v>
      </c>
      <c r="L116" s="6">
        <f>Table1[[#This Row],[Revenue]]/Table1[[#This Row],[Target]]</f>
        <v>0.99856871817062209</v>
      </c>
      <c r="M116" s="3" t="str">
        <f>IF(Table1[[#This Row],[Achieved %]]&gt;1,"▲","▼")</f>
        <v>▼</v>
      </c>
    </row>
    <row r="117" spans="1:13" x14ac:dyDescent="0.25">
      <c r="A117" s="5">
        <v>45407</v>
      </c>
      <c r="B117" s="3" t="s">
        <v>8</v>
      </c>
      <c r="C117" s="3" t="s">
        <v>20</v>
      </c>
      <c r="D117" s="3" t="s">
        <v>17</v>
      </c>
      <c r="E117" s="3" t="str">
        <f>VLOOKUP(Table1[[#This Row],[Product]],Master!A:C,2,FALSE)</f>
        <v>Electronics</v>
      </c>
      <c r="F117" s="3">
        <f>VLOOKUP(Table1[[#This Row],[Product]],Master!A:C,3,FALSE)</f>
        <v>20000</v>
      </c>
      <c r="G117" s="3">
        <v>1</v>
      </c>
      <c r="H117" s="3">
        <v>20000</v>
      </c>
      <c r="I117" s="3">
        <v>21960</v>
      </c>
      <c r="J117" s="3" t="str">
        <f>TEXT(Table1[[#This Row],[Date]],"mmm")</f>
        <v>Apr</v>
      </c>
      <c r="K117" s="3">
        <f>YEAR(Table1[[#This Row],[Date]])</f>
        <v>2024</v>
      </c>
      <c r="L117" s="6">
        <f>Table1[[#This Row],[Revenue]]/Table1[[#This Row],[Target]]</f>
        <v>0.91074681238615662</v>
      </c>
      <c r="M117" s="3" t="str">
        <f>IF(Table1[[#This Row],[Achieved %]]&gt;1,"▲","▼")</f>
        <v>▼</v>
      </c>
    </row>
    <row r="118" spans="1:13" x14ac:dyDescent="0.25">
      <c r="A118" s="5">
        <v>45408</v>
      </c>
      <c r="B118" s="3" t="s">
        <v>16</v>
      </c>
      <c r="C118" s="3" t="s">
        <v>13</v>
      </c>
      <c r="D118" s="3" t="s">
        <v>10</v>
      </c>
      <c r="E118" s="3" t="str">
        <f>VLOOKUP(Table1[[#This Row],[Product]],Master!A:C,2,FALSE)</f>
        <v>Electronics</v>
      </c>
      <c r="F118" s="3">
        <f>VLOOKUP(Table1[[#This Row],[Product]],Master!A:C,3,FALSE)</f>
        <v>50000</v>
      </c>
      <c r="G118" s="3">
        <v>9</v>
      </c>
      <c r="H118" s="3">
        <v>450000</v>
      </c>
      <c r="I118" s="3">
        <v>453672</v>
      </c>
      <c r="J118" s="3" t="str">
        <f>TEXT(Table1[[#This Row],[Date]],"mmm")</f>
        <v>Apr</v>
      </c>
      <c r="K118" s="3">
        <f>YEAR(Table1[[#This Row],[Date]])</f>
        <v>2024</v>
      </c>
      <c r="L118" s="6">
        <f>Table1[[#This Row],[Revenue]]/Table1[[#This Row],[Target]]</f>
        <v>0.99190604665926041</v>
      </c>
      <c r="M118" s="3" t="str">
        <f>IF(Table1[[#This Row],[Achieved %]]&gt;1,"▲","▼")</f>
        <v>▼</v>
      </c>
    </row>
    <row r="119" spans="1:13" x14ac:dyDescent="0.25">
      <c r="A119" s="5">
        <v>45409</v>
      </c>
      <c r="B119" s="3" t="s">
        <v>8</v>
      </c>
      <c r="C119" s="3" t="s">
        <v>19</v>
      </c>
      <c r="D119" s="3" t="s">
        <v>17</v>
      </c>
      <c r="E119" s="3" t="str">
        <f>VLOOKUP(Table1[[#This Row],[Product]],Master!A:C,2,FALSE)</f>
        <v>Electronics</v>
      </c>
      <c r="F119" s="3">
        <f>VLOOKUP(Table1[[#This Row],[Product]],Master!A:C,3,FALSE)</f>
        <v>20000</v>
      </c>
      <c r="G119" s="3">
        <v>9</v>
      </c>
      <c r="H119" s="3">
        <v>180000</v>
      </c>
      <c r="I119" s="3">
        <v>183842</v>
      </c>
      <c r="J119" s="3" t="str">
        <f>TEXT(Table1[[#This Row],[Date]],"mmm")</f>
        <v>Apr</v>
      </c>
      <c r="K119" s="3">
        <f>YEAR(Table1[[#This Row],[Date]])</f>
        <v>2024</v>
      </c>
      <c r="L119" s="6">
        <f>Table1[[#This Row],[Revenue]]/Table1[[#This Row],[Target]]</f>
        <v>0.9791016198692355</v>
      </c>
      <c r="M119" s="3" t="str">
        <f>IF(Table1[[#This Row],[Achieved %]]&gt;1,"▲","▼")</f>
        <v>▼</v>
      </c>
    </row>
    <row r="120" spans="1:13" x14ac:dyDescent="0.25">
      <c r="A120" s="5">
        <v>45410</v>
      </c>
      <c r="B120" s="3" t="s">
        <v>12</v>
      </c>
      <c r="C120" s="3" t="s">
        <v>22</v>
      </c>
      <c r="D120" s="3" t="s">
        <v>10</v>
      </c>
      <c r="E120" s="3" t="str">
        <f>VLOOKUP(Table1[[#This Row],[Product]],Master!A:C,2,FALSE)</f>
        <v>Electronics</v>
      </c>
      <c r="F120" s="3">
        <f>VLOOKUP(Table1[[#This Row],[Product]],Master!A:C,3,FALSE)</f>
        <v>50000</v>
      </c>
      <c r="G120" s="3">
        <v>6</v>
      </c>
      <c r="H120" s="3">
        <v>300000</v>
      </c>
      <c r="I120" s="3">
        <v>287828</v>
      </c>
      <c r="J120" s="3" t="str">
        <f>TEXT(Table1[[#This Row],[Date]],"mmm")</f>
        <v>Apr</v>
      </c>
      <c r="K120" s="3">
        <f>YEAR(Table1[[#This Row],[Date]])</f>
        <v>2024</v>
      </c>
      <c r="L120" s="6">
        <f>Table1[[#This Row],[Revenue]]/Table1[[#This Row],[Target]]</f>
        <v>1.0422891449059855</v>
      </c>
      <c r="M120" s="3" t="str">
        <f>IF(Table1[[#This Row],[Achieved %]]&gt;1,"▲","▼")</f>
        <v>▲</v>
      </c>
    </row>
    <row r="121" spans="1:13" x14ac:dyDescent="0.25">
      <c r="A121" s="5">
        <v>45411</v>
      </c>
      <c r="B121" s="3" t="s">
        <v>18</v>
      </c>
      <c r="C121" s="3" t="s">
        <v>22</v>
      </c>
      <c r="D121" s="3" t="s">
        <v>14</v>
      </c>
      <c r="E121" s="3" t="str">
        <f>VLOOKUP(Table1[[#This Row],[Product]],Master!A:C,2,FALSE)</f>
        <v>Office</v>
      </c>
      <c r="F121" s="3">
        <f>VLOOKUP(Table1[[#This Row],[Product]],Master!A:C,3,FALSE)</f>
        <v>15000</v>
      </c>
      <c r="G121" s="3">
        <v>7</v>
      </c>
      <c r="H121" s="3">
        <v>105000</v>
      </c>
      <c r="I121" s="3">
        <v>89930</v>
      </c>
      <c r="J121" s="3" t="str">
        <f>TEXT(Table1[[#This Row],[Date]],"mmm")</f>
        <v>Apr</v>
      </c>
      <c r="K121" s="3">
        <f>YEAR(Table1[[#This Row],[Date]])</f>
        <v>2024</v>
      </c>
      <c r="L121" s="6">
        <f>Table1[[#This Row],[Revenue]]/Table1[[#This Row],[Target]]</f>
        <v>1.1675747803847436</v>
      </c>
      <c r="M121" s="3" t="str">
        <f>IF(Table1[[#This Row],[Achieved %]]&gt;1,"▲","▼")</f>
        <v>▲</v>
      </c>
    </row>
    <row r="122" spans="1:13" x14ac:dyDescent="0.25">
      <c r="A122" s="5">
        <v>45412</v>
      </c>
      <c r="B122" s="3" t="s">
        <v>16</v>
      </c>
      <c r="C122" s="3" t="s">
        <v>9</v>
      </c>
      <c r="D122" s="3" t="s">
        <v>21</v>
      </c>
      <c r="E122" s="3" t="str">
        <f>VLOOKUP(Table1[[#This Row],[Product]],Master!A:C,2,FALSE)</f>
        <v>Electronics</v>
      </c>
      <c r="F122" s="3">
        <f>VLOOKUP(Table1[[#This Row],[Product]],Master!A:C,3,FALSE)</f>
        <v>30000</v>
      </c>
      <c r="G122" s="3">
        <v>6</v>
      </c>
      <c r="H122" s="3">
        <v>180000</v>
      </c>
      <c r="I122" s="3">
        <v>179835</v>
      </c>
      <c r="J122" s="3" t="str">
        <f>TEXT(Table1[[#This Row],[Date]],"mmm")</f>
        <v>Apr</v>
      </c>
      <c r="K122" s="3">
        <f>YEAR(Table1[[#This Row],[Date]])</f>
        <v>2024</v>
      </c>
      <c r="L122" s="6">
        <f>Table1[[#This Row],[Revenue]]/Table1[[#This Row],[Target]]</f>
        <v>1.0009175077154058</v>
      </c>
      <c r="M122" s="3" t="str">
        <f>IF(Table1[[#This Row],[Achieved %]]&gt;1,"▲","▼")</f>
        <v>▲</v>
      </c>
    </row>
    <row r="123" spans="1:13" x14ac:dyDescent="0.25">
      <c r="A123" s="5">
        <v>45413</v>
      </c>
      <c r="B123" s="3" t="s">
        <v>16</v>
      </c>
      <c r="C123" s="3" t="s">
        <v>19</v>
      </c>
      <c r="D123" s="3" t="s">
        <v>10</v>
      </c>
      <c r="E123" s="3" t="str">
        <f>VLOOKUP(Table1[[#This Row],[Product]],Master!A:C,2,FALSE)</f>
        <v>Electronics</v>
      </c>
      <c r="F123" s="3">
        <f>VLOOKUP(Table1[[#This Row],[Product]],Master!A:C,3,FALSE)</f>
        <v>50000</v>
      </c>
      <c r="G123" s="3">
        <v>7</v>
      </c>
      <c r="H123" s="3">
        <v>350000</v>
      </c>
      <c r="I123" s="3">
        <v>339037</v>
      </c>
      <c r="J123" s="3" t="str">
        <f>TEXT(Table1[[#This Row],[Date]],"mmm")</f>
        <v>May</v>
      </c>
      <c r="K123" s="3">
        <f>YEAR(Table1[[#This Row],[Date]])</f>
        <v>2024</v>
      </c>
      <c r="L123" s="6">
        <f>Table1[[#This Row],[Revenue]]/Table1[[#This Row],[Target]]</f>
        <v>1.0323357037727445</v>
      </c>
      <c r="M123" s="3" t="str">
        <f>IF(Table1[[#This Row],[Achieved %]]&gt;1,"▲","▼")</f>
        <v>▲</v>
      </c>
    </row>
    <row r="124" spans="1:13" x14ac:dyDescent="0.25">
      <c r="A124" s="5">
        <v>45414</v>
      </c>
      <c r="B124" s="3" t="s">
        <v>8</v>
      </c>
      <c r="C124" s="3" t="s">
        <v>20</v>
      </c>
      <c r="D124" s="3" t="s">
        <v>14</v>
      </c>
      <c r="E124" s="3" t="str">
        <f>VLOOKUP(Table1[[#This Row],[Product]],Master!A:C,2,FALSE)</f>
        <v>Office</v>
      </c>
      <c r="F124" s="3">
        <f>VLOOKUP(Table1[[#This Row],[Product]],Master!A:C,3,FALSE)</f>
        <v>15000</v>
      </c>
      <c r="G124" s="3">
        <v>2</v>
      </c>
      <c r="H124" s="3">
        <v>30000</v>
      </c>
      <c r="I124" s="3">
        <v>34813</v>
      </c>
      <c r="J124" s="3" t="str">
        <f>TEXT(Table1[[#This Row],[Date]],"mmm")</f>
        <v>May</v>
      </c>
      <c r="K124" s="3">
        <f>YEAR(Table1[[#This Row],[Date]])</f>
        <v>2024</v>
      </c>
      <c r="L124" s="6">
        <f>Table1[[#This Row],[Revenue]]/Table1[[#This Row],[Target]]</f>
        <v>0.86174704851635886</v>
      </c>
      <c r="M124" s="3" t="str">
        <f>IF(Table1[[#This Row],[Achieved %]]&gt;1,"▲","▼")</f>
        <v>▼</v>
      </c>
    </row>
    <row r="125" spans="1:13" x14ac:dyDescent="0.25">
      <c r="A125" s="5">
        <v>45415</v>
      </c>
      <c r="B125" s="3" t="s">
        <v>16</v>
      </c>
      <c r="C125" s="3" t="s">
        <v>13</v>
      </c>
      <c r="D125" s="3" t="s">
        <v>10</v>
      </c>
      <c r="E125" s="3" t="str">
        <f>VLOOKUP(Table1[[#This Row],[Product]],Master!A:C,2,FALSE)</f>
        <v>Electronics</v>
      </c>
      <c r="F125" s="3">
        <f>VLOOKUP(Table1[[#This Row],[Product]],Master!A:C,3,FALSE)</f>
        <v>50000</v>
      </c>
      <c r="G125" s="3">
        <v>6</v>
      </c>
      <c r="H125" s="3">
        <v>300000</v>
      </c>
      <c r="I125" s="3">
        <v>302957</v>
      </c>
      <c r="J125" s="3" t="str">
        <f>TEXT(Table1[[#This Row],[Date]],"mmm")</f>
        <v>May</v>
      </c>
      <c r="K125" s="3">
        <f>YEAR(Table1[[#This Row],[Date]])</f>
        <v>2024</v>
      </c>
      <c r="L125" s="6">
        <f>Table1[[#This Row],[Revenue]]/Table1[[#This Row],[Target]]</f>
        <v>0.9902395389444707</v>
      </c>
      <c r="M125" s="3" t="str">
        <f>IF(Table1[[#This Row],[Achieved %]]&gt;1,"▲","▼")</f>
        <v>▼</v>
      </c>
    </row>
    <row r="126" spans="1:13" x14ac:dyDescent="0.25">
      <c r="A126" s="5">
        <v>45416</v>
      </c>
      <c r="B126" s="3" t="s">
        <v>12</v>
      </c>
      <c r="C126" s="3" t="s">
        <v>20</v>
      </c>
      <c r="D126" s="3" t="s">
        <v>17</v>
      </c>
      <c r="E126" s="3" t="str">
        <f>VLOOKUP(Table1[[#This Row],[Product]],Master!A:C,2,FALSE)</f>
        <v>Electronics</v>
      </c>
      <c r="F126" s="3">
        <f>VLOOKUP(Table1[[#This Row],[Product]],Master!A:C,3,FALSE)</f>
        <v>20000</v>
      </c>
      <c r="G126" s="3">
        <v>8</v>
      </c>
      <c r="H126" s="3">
        <v>160000</v>
      </c>
      <c r="I126" s="3">
        <v>179308</v>
      </c>
      <c r="J126" s="3" t="str">
        <f>TEXT(Table1[[#This Row],[Date]],"mmm")</f>
        <v>May</v>
      </c>
      <c r="K126" s="3">
        <f>YEAR(Table1[[#This Row],[Date]])</f>
        <v>2024</v>
      </c>
      <c r="L126" s="6">
        <f>Table1[[#This Row],[Revenue]]/Table1[[#This Row],[Target]]</f>
        <v>0.8923193610993374</v>
      </c>
      <c r="M126" s="3" t="str">
        <f>IF(Table1[[#This Row],[Achieved %]]&gt;1,"▲","▼")</f>
        <v>▼</v>
      </c>
    </row>
    <row r="127" spans="1:13" x14ac:dyDescent="0.25">
      <c r="A127" s="5">
        <v>45417</v>
      </c>
      <c r="B127" s="3" t="s">
        <v>16</v>
      </c>
      <c r="C127" s="3" t="s">
        <v>19</v>
      </c>
      <c r="D127" s="3" t="s">
        <v>14</v>
      </c>
      <c r="E127" s="3" t="str">
        <f>VLOOKUP(Table1[[#This Row],[Product]],Master!A:C,2,FALSE)</f>
        <v>Office</v>
      </c>
      <c r="F127" s="3">
        <f>VLOOKUP(Table1[[#This Row],[Product]],Master!A:C,3,FALSE)</f>
        <v>15000</v>
      </c>
      <c r="G127" s="3">
        <v>7</v>
      </c>
      <c r="H127" s="3">
        <v>105000</v>
      </c>
      <c r="I127" s="3">
        <v>115919</v>
      </c>
      <c r="J127" s="3" t="str">
        <f>TEXT(Table1[[#This Row],[Date]],"mmm")</f>
        <v>May</v>
      </c>
      <c r="K127" s="3">
        <f>YEAR(Table1[[#This Row],[Date]])</f>
        <v>2024</v>
      </c>
      <c r="L127" s="6">
        <f>Table1[[#This Row],[Revenue]]/Table1[[#This Row],[Target]]</f>
        <v>0.90580491550134146</v>
      </c>
      <c r="M127" s="3" t="str">
        <f>IF(Table1[[#This Row],[Achieved %]]&gt;1,"▲","▼")</f>
        <v>▼</v>
      </c>
    </row>
    <row r="128" spans="1:13" x14ac:dyDescent="0.25">
      <c r="A128" s="5">
        <v>45418</v>
      </c>
      <c r="B128" s="3" t="s">
        <v>12</v>
      </c>
      <c r="C128" s="3" t="s">
        <v>9</v>
      </c>
      <c r="D128" s="3" t="s">
        <v>21</v>
      </c>
      <c r="E128" s="3" t="str">
        <f>VLOOKUP(Table1[[#This Row],[Product]],Master!A:C,2,FALSE)</f>
        <v>Electronics</v>
      </c>
      <c r="F128" s="3">
        <f>VLOOKUP(Table1[[#This Row],[Product]],Master!A:C,3,FALSE)</f>
        <v>30000</v>
      </c>
      <c r="G128" s="3">
        <v>4</v>
      </c>
      <c r="H128" s="3">
        <v>120000</v>
      </c>
      <c r="I128" s="3">
        <v>106282</v>
      </c>
      <c r="J128" s="3" t="str">
        <f>TEXT(Table1[[#This Row],[Date]],"mmm")</f>
        <v>May</v>
      </c>
      <c r="K128" s="3">
        <f>YEAR(Table1[[#This Row],[Date]])</f>
        <v>2024</v>
      </c>
      <c r="L128" s="6">
        <f>Table1[[#This Row],[Revenue]]/Table1[[#This Row],[Target]]</f>
        <v>1.1290717148717562</v>
      </c>
      <c r="M128" s="3" t="str">
        <f>IF(Table1[[#This Row],[Achieved %]]&gt;1,"▲","▼")</f>
        <v>▲</v>
      </c>
    </row>
    <row r="129" spans="1:13" x14ac:dyDescent="0.25">
      <c r="A129" s="5">
        <v>45419</v>
      </c>
      <c r="B129" s="3" t="s">
        <v>12</v>
      </c>
      <c r="C129" s="3" t="s">
        <v>20</v>
      </c>
      <c r="D129" s="3" t="s">
        <v>14</v>
      </c>
      <c r="E129" s="3" t="str">
        <f>VLOOKUP(Table1[[#This Row],[Product]],Master!A:C,2,FALSE)</f>
        <v>Office</v>
      </c>
      <c r="F129" s="3">
        <f>VLOOKUP(Table1[[#This Row],[Product]],Master!A:C,3,FALSE)</f>
        <v>15000</v>
      </c>
      <c r="G129" s="3">
        <v>4</v>
      </c>
      <c r="H129" s="3">
        <v>60000</v>
      </c>
      <c r="I129" s="3">
        <v>45245</v>
      </c>
      <c r="J129" s="3" t="str">
        <f>TEXT(Table1[[#This Row],[Date]],"mmm")</f>
        <v>May</v>
      </c>
      <c r="K129" s="3">
        <f>YEAR(Table1[[#This Row],[Date]])</f>
        <v>2024</v>
      </c>
      <c r="L129" s="6">
        <f>Table1[[#This Row],[Revenue]]/Table1[[#This Row],[Target]]</f>
        <v>1.3261133826942204</v>
      </c>
      <c r="M129" s="3" t="str">
        <f>IF(Table1[[#This Row],[Achieved %]]&gt;1,"▲","▼")</f>
        <v>▲</v>
      </c>
    </row>
    <row r="130" spans="1:13" x14ac:dyDescent="0.25">
      <c r="A130" s="5">
        <v>45420</v>
      </c>
      <c r="B130" s="3" t="s">
        <v>8</v>
      </c>
      <c r="C130" s="3" t="s">
        <v>13</v>
      </c>
      <c r="D130" s="3" t="s">
        <v>17</v>
      </c>
      <c r="E130" s="3" t="str">
        <f>VLOOKUP(Table1[[#This Row],[Product]],Master!A:C,2,FALSE)</f>
        <v>Electronics</v>
      </c>
      <c r="F130" s="3">
        <f>VLOOKUP(Table1[[#This Row],[Product]],Master!A:C,3,FALSE)</f>
        <v>20000</v>
      </c>
      <c r="G130" s="3">
        <v>5</v>
      </c>
      <c r="H130" s="3">
        <v>100000</v>
      </c>
      <c r="I130" s="3">
        <v>88901</v>
      </c>
      <c r="J130" s="3" t="str">
        <f>TEXT(Table1[[#This Row],[Date]],"mmm")</f>
        <v>May</v>
      </c>
      <c r="K130" s="3">
        <f>YEAR(Table1[[#This Row],[Date]])</f>
        <v>2024</v>
      </c>
      <c r="L130" s="6">
        <f>Table1[[#This Row],[Revenue]]/Table1[[#This Row],[Target]]</f>
        <v>1.1248467396317252</v>
      </c>
      <c r="M130" s="3" t="str">
        <f>IF(Table1[[#This Row],[Achieved %]]&gt;1,"▲","▼")</f>
        <v>▲</v>
      </c>
    </row>
    <row r="131" spans="1:13" x14ac:dyDescent="0.25">
      <c r="A131" s="5">
        <v>45421</v>
      </c>
      <c r="B131" s="3" t="s">
        <v>18</v>
      </c>
      <c r="C131" s="3" t="s">
        <v>20</v>
      </c>
      <c r="D131" s="3" t="s">
        <v>14</v>
      </c>
      <c r="E131" s="3" t="str">
        <f>VLOOKUP(Table1[[#This Row],[Product]],Master!A:C,2,FALSE)</f>
        <v>Office</v>
      </c>
      <c r="F131" s="3">
        <f>VLOOKUP(Table1[[#This Row],[Product]],Master!A:C,3,FALSE)</f>
        <v>15000</v>
      </c>
      <c r="G131" s="3">
        <v>6</v>
      </c>
      <c r="H131" s="3">
        <v>90000</v>
      </c>
      <c r="I131" s="3">
        <v>78616</v>
      </c>
      <c r="J131" s="3" t="str">
        <f>TEXT(Table1[[#This Row],[Date]],"mmm")</f>
        <v>May</v>
      </c>
      <c r="K131" s="3">
        <f>YEAR(Table1[[#This Row],[Date]])</f>
        <v>2024</v>
      </c>
      <c r="L131" s="6">
        <f>Table1[[#This Row],[Revenue]]/Table1[[#This Row],[Target]]</f>
        <v>1.1448051287269767</v>
      </c>
      <c r="M131" s="3" t="str">
        <f>IF(Table1[[#This Row],[Achieved %]]&gt;1,"▲","▼")</f>
        <v>▲</v>
      </c>
    </row>
    <row r="132" spans="1:13" x14ac:dyDescent="0.25">
      <c r="A132" s="5">
        <v>45422</v>
      </c>
      <c r="B132" s="3" t="s">
        <v>16</v>
      </c>
      <c r="C132" s="3" t="s">
        <v>20</v>
      </c>
      <c r="D132" s="3" t="s">
        <v>17</v>
      </c>
      <c r="E132" s="3" t="str">
        <f>VLOOKUP(Table1[[#This Row],[Product]],Master!A:C,2,FALSE)</f>
        <v>Electronics</v>
      </c>
      <c r="F132" s="3">
        <f>VLOOKUP(Table1[[#This Row],[Product]],Master!A:C,3,FALSE)</f>
        <v>20000</v>
      </c>
      <c r="G132" s="3">
        <v>8</v>
      </c>
      <c r="H132" s="3">
        <v>160000</v>
      </c>
      <c r="I132" s="3">
        <v>150904</v>
      </c>
      <c r="J132" s="3" t="str">
        <f>TEXT(Table1[[#This Row],[Date]],"mmm")</f>
        <v>May</v>
      </c>
      <c r="K132" s="3">
        <f>YEAR(Table1[[#This Row],[Date]])</f>
        <v>2024</v>
      </c>
      <c r="L132" s="6">
        <f>Table1[[#This Row],[Revenue]]/Table1[[#This Row],[Target]]</f>
        <v>1.0602767322271114</v>
      </c>
      <c r="M132" s="3" t="str">
        <f>IF(Table1[[#This Row],[Achieved %]]&gt;1,"▲","▼")</f>
        <v>▲</v>
      </c>
    </row>
    <row r="133" spans="1:13" x14ac:dyDescent="0.25">
      <c r="A133" s="5">
        <v>45423</v>
      </c>
      <c r="B133" s="3" t="s">
        <v>16</v>
      </c>
      <c r="C133" s="3" t="s">
        <v>19</v>
      </c>
      <c r="D133" s="3" t="s">
        <v>17</v>
      </c>
      <c r="E133" s="3" t="str">
        <f>VLOOKUP(Table1[[#This Row],[Product]],Master!A:C,2,FALSE)</f>
        <v>Electronics</v>
      </c>
      <c r="F133" s="3">
        <f>VLOOKUP(Table1[[#This Row],[Product]],Master!A:C,3,FALSE)</f>
        <v>20000</v>
      </c>
      <c r="G133" s="3">
        <v>2</v>
      </c>
      <c r="H133" s="3">
        <v>40000</v>
      </c>
      <c r="I133" s="3">
        <v>27303</v>
      </c>
      <c r="J133" s="3" t="str">
        <f>TEXT(Table1[[#This Row],[Date]],"mmm")</f>
        <v>May</v>
      </c>
      <c r="K133" s="3">
        <f>YEAR(Table1[[#This Row],[Date]])</f>
        <v>2024</v>
      </c>
      <c r="L133" s="6">
        <f>Table1[[#This Row],[Revenue]]/Table1[[#This Row],[Target]]</f>
        <v>1.4650404717430319</v>
      </c>
      <c r="M133" s="3" t="str">
        <f>IF(Table1[[#This Row],[Achieved %]]&gt;1,"▲","▼")</f>
        <v>▲</v>
      </c>
    </row>
    <row r="134" spans="1:13" x14ac:dyDescent="0.25">
      <c r="A134" s="5">
        <v>45424</v>
      </c>
      <c r="B134" s="3" t="s">
        <v>8</v>
      </c>
      <c r="C134" s="3" t="s">
        <v>9</v>
      </c>
      <c r="D134" s="3" t="s">
        <v>21</v>
      </c>
      <c r="E134" s="3" t="str">
        <f>VLOOKUP(Table1[[#This Row],[Product]],Master!A:C,2,FALSE)</f>
        <v>Electronics</v>
      </c>
      <c r="F134" s="3">
        <f>VLOOKUP(Table1[[#This Row],[Product]],Master!A:C,3,FALSE)</f>
        <v>30000</v>
      </c>
      <c r="G134" s="3">
        <v>1</v>
      </c>
      <c r="H134" s="3">
        <v>30000</v>
      </c>
      <c r="I134" s="3">
        <v>41732</v>
      </c>
      <c r="J134" s="3" t="str">
        <f>TEXT(Table1[[#This Row],[Date]],"mmm")</f>
        <v>May</v>
      </c>
      <c r="K134" s="3">
        <f>YEAR(Table1[[#This Row],[Date]])</f>
        <v>2024</v>
      </c>
      <c r="L134" s="6">
        <f>Table1[[#This Row],[Revenue]]/Table1[[#This Row],[Target]]</f>
        <v>0.71887280743793736</v>
      </c>
      <c r="M134" s="3" t="str">
        <f>IF(Table1[[#This Row],[Achieved %]]&gt;1,"▲","▼")</f>
        <v>▼</v>
      </c>
    </row>
    <row r="135" spans="1:13" x14ac:dyDescent="0.25">
      <c r="A135" s="5">
        <v>45425</v>
      </c>
      <c r="B135" s="3" t="s">
        <v>12</v>
      </c>
      <c r="C135" s="3" t="s">
        <v>19</v>
      </c>
      <c r="D135" s="3" t="s">
        <v>17</v>
      </c>
      <c r="E135" s="3" t="str">
        <f>VLOOKUP(Table1[[#This Row],[Product]],Master!A:C,2,FALSE)</f>
        <v>Electronics</v>
      </c>
      <c r="F135" s="3">
        <f>VLOOKUP(Table1[[#This Row],[Product]],Master!A:C,3,FALSE)</f>
        <v>20000</v>
      </c>
      <c r="G135" s="3">
        <v>7</v>
      </c>
      <c r="H135" s="3">
        <v>140000</v>
      </c>
      <c r="I135" s="3">
        <v>148960</v>
      </c>
      <c r="J135" s="3" t="str">
        <f>TEXT(Table1[[#This Row],[Date]],"mmm")</f>
        <v>May</v>
      </c>
      <c r="K135" s="3">
        <f>YEAR(Table1[[#This Row],[Date]])</f>
        <v>2024</v>
      </c>
      <c r="L135" s="6">
        <f>Table1[[#This Row],[Revenue]]/Table1[[#This Row],[Target]]</f>
        <v>0.93984962406015038</v>
      </c>
      <c r="M135" s="3" t="str">
        <f>IF(Table1[[#This Row],[Achieved %]]&gt;1,"▲","▼")</f>
        <v>▼</v>
      </c>
    </row>
    <row r="136" spans="1:13" x14ac:dyDescent="0.25">
      <c r="A136" s="5">
        <v>45426</v>
      </c>
      <c r="B136" s="3" t="s">
        <v>16</v>
      </c>
      <c r="C136" s="3" t="s">
        <v>13</v>
      </c>
      <c r="D136" s="3" t="s">
        <v>14</v>
      </c>
      <c r="E136" s="3" t="str">
        <f>VLOOKUP(Table1[[#This Row],[Product]],Master!A:C,2,FALSE)</f>
        <v>Office</v>
      </c>
      <c r="F136" s="3">
        <f>VLOOKUP(Table1[[#This Row],[Product]],Master!A:C,3,FALSE)</f>
        <v>15000</v>
      </c>
      <c r="G136" s="3">
        <v>3</v>
      </c>
      <c r="H136" s="3">
        <v>45000</v>
      </c>
      <c r="I136" s="3">
        <v>57308</v>
      </c>
      <c r="J136" s="3" t="str">
        <f>TEXT(Table1[[#This Row],[Date]],"mmm")</f>
        <v>May</v>
      </c>
      <c r="K136" s="3">
        <f>YEAR(Table1[[#This Row],[Date]])</f>
        <v>2024</v>
      </c>
      <c r="L136" s="6">
        <f>Table1[[#This Row],[Revenue]]/Table1[[#This Row],[Target]]</f>
        <v>0.78523068332519019</v>
      </c>
      <c r="M136" s="3" t="str">
        <f>IF(Table1[[#This Row],[Achieved %]]&gt;1,"▲","▼")</f>
        <v>▼</v>
      </c>
    </row>
    <row r="137" spans="1:13" x14ac:dyDescent="0.25">
      <c r="A137" s="5">
        <v>45427</v>
      </c>
      <c r="B137" s="3" t="s">
        <v>12</v>
      </c>
      <c r="C137" s="3" t="s">
        <v>22</v>
      </c>
      <c r="D137" s="3" t="s">
        <v>10</v>
      </c>
      <c r="E137" s="3" t="str">
        <f>VLOOKUP(Table1[[#This Row],[Product]],Master!A:C,2,FALSE)</f>
        <v>Electronics</v>
      </c>
      <c r="F137" s="3">
        <f>VLOOKUP(Table1[[#This Row],[Product]],Master!A:C,3,FALSE)</f>
        <v>50000</v>
      </c>
      <c r="G137" s="3">
        <v>7</v>
      </c>
      <c r="H137" s="3">
        <v>350000</v>
      </c>
      <c r="I137" s="3">
        <v>340825</v>
      </c>
      <c r="J137" s="3" t="str">
        <f>TEXT(Table1[[#This Row],[Date]],"mmm")</f>
        <v>May</v>
      </c>
      <c r="K137" s="3">
        <f>YEAR(Table1[[#This Row],[Date]])</f>
        <v>2024</v>
      </c>
      <c r="L137" s="6">
        <f>Table1[[#This Row],[Revenue]]/Table1[[#This Row],[Target]]</f>
        <v>1.0269199735934864</v>
      </c>
      <c r="M137" s="3" t="str">
        <f>IF(Table1[[#This Row],[Achieved %]]&gt;1,"▲","▼")</f>
        <v>▲</v>
      </c>
    </row>
    <row r="138" spans="1:13" x14ac:dyDescent="0.25">
      <c r="A138" s="5">
        <v>45428</v>
      </c>
      <c r="B138" s="3" t="s">
        <v>16</v>
      </c>
      <c r="C138" s="3" t="s">
        <v>22</v>
      </c>
      <c r="D138" s="3" t="s">
        <v>14</v>
      </c>
      <c r="E138" s="3" t="str">
        <f>VLOOKUP(Table1[[#This Row],[Product]],Master!A:C,2,FALSE)</f>
        <v>Office</v>
      </c>
      <c r="F138" s="3">
        <f>VLOOKUP(Table1[[#This Row],[Product]],Master!A:C,3,FALSE)</f>
        <v>15000</v>
      </c>
      <c r="G138" s="3">
        <v>4</v>
      </c>
      <c r="H138" s="3">
        <v>60000</v>
      </c>
      <c r="I138" s="3">
        <v>67724</v>
      </c>
      <c r="J138" s="3" t="str">
        <f>TEXT(Table1[[#This Row],[Date]],"mmm")</f>
        <v>May</v>
      </c>
      <c r="K138" s="3">
        <f>YEAR(Table1[[#This Row],[Date]])</f>
        <v>2024</v>
      </c>
      <c r="L138" s="6">
        <f>Table1[[#This Row],[Revenue]]/Table1[[#This Row],[Target]]</f>
        <v>0.88594885121965627</v>
      </c>
      <c r="M138" s="3" t="str">
        <f>IF(Table1[[#This Row],[Achieved %]]&gt;1,"▲","▼")</f>
        <v>▼</v>
      </c>
    </row>
    <row r="139" spans="1:13" x14ac:dyDescent="0.25">
      <c r="A139" s="5">
        <v>45429</v>
      </c>
      <c r="B139" s="3" t="s">
        <v>12</v>
      </c>
      <c r="C139" s="3" t="s">
        <v>19</v>
      </c>
      <c r="D139" s="3" t="s">
        <v>17</v>
      </c>
      <c r="E139" s="3" t="str">
        <f>VLOOKUP(Table1[[#This Row],[Product]],Master!A:C,2,FALSE)</f>
        <v>Electronics</v>
      </c>
      <c r="F139" s="3">
        <f>VLOOKUP(Table1[[#This Row],[Product]],Master!A:C,3,FALSE)</f>
        <v>20000</v>
      </c>
      <c r="G139" s="3">
        <v>1</v>
      </c>
      <c r="H139" s="3">
        <v>20000</v>
      </c>
      <c r="I139" s="3">
        <v>39021</v>
      </c>
      <c r="J139" s="3" t="str">
        <f>TEXT(Table1[[#This Row],[Date]],"mmm")</f>
        <v>May</v>
      </c>
      <c r="K139" s="3">
        <f>YEAR(Table1[[#This Row],[Date]])</f>
        <v>2024</v>
      </c>
      <c r="L139" s="6">
        <f>Table1[[#This Row],[Revenue]]/Table1[[#This Row],[Target]]</f>
        <v>0.51254452730580968</v>
      </c>
      <c r="M139" s="3" t="str">
        <f>IF(Table1[[#This Row],[Achieved %]]&gt;1,"▲","▼")</f>
        <v>▼</v>
      </c>
    </row>
    <row r="140" spans="1:13" x14ac:dyDescent="0.25">
      <c r="A140" s="5">
        <v>45430</v>
      </c>
      <c r="B140" s="3" t="s">
        <v>16</v>
      </c>
      <c r="C140" s="3" t="s">
        <v>19</v>
      </c>
      <c r="D140" s="3" t="s">
        <v>17</v>
      </c>
      <c r="E140" s="3" t="str">
        <f>VLOOKUP(Table1[[#This Row],[Product]],Master!A:C,2,FALSE)</f>
        <v>Electronics</v>
      </c>
      <c r="F140" s="3">
        <f>VLOOKUP(Table1[[#This Row],[Product]],Master!A:C,3,FALSE)</f>
        <v>20000</v>
      </c>
      <c r="G140" s="3">
        <v>8</v>
      </c>
      <c r="H140" s="3">
        <v>160000</v>
      </c>
      <c r="I140" s="3">
        <v>160462</v>
      </c>
      <c r="J140" s="3" t="str">
        <f>TEXT(Table1[[#This Row],[Date]],"mmm")</f>
        <v>May</v>
      </c>
      <c r="K140" s="3">
        <f>YEAR(Table1[[#This Row],[Date]])</f>
        <v>2024</v>
      </c>
      <c r="L140" s="6">
        <f>Table1[[#This Row],[Revenue]]/Table1[[#This Row],[Target]]</f>
        <v>0.99712081365058391</v>
      </c>
      <c r="M140" s="3" t="str">
        <f>IF(Table1[[#This Row],[Achieved %]]&gt;1,"▲","▼")</f>
        <v>▼</v>
      </c>
    </row>
    <row r="141" spans="1:13" x14ac:dyDescent="0.25">
      <c r="A141" s="5">
        <v>45431</v>
      </c>
      <c r="B141" s="3" t="s">
        <v>16</v>
      </c>
      <c r="C141" s="3" t="s">
        <v>22</v>
      </c>
      <c r="D141" s="3" t="s">
        <v>21</v>
      </c>
      <c r="E141" s="3" t="str">
        <f>VLOOKUP(Table1[[#This Row],[Product]],Master!A:C,2,FALSE)</f>
        <v>Electronics</v>
      </c>
      <c r="F141" s="3">
        <f>VLOOKUP(Table1[[#This Row],[Product]],Master!A:C,3,FALSE)</f>
        <v>30000</v>
      </c>
      <c r="G141" s="3">
        <v>5</v>
      </c>
      <c r="H141" s="3">
        <v>150000</v>
      </c>
      <c r="I141" s="3">
        <v>153018</v>
      </c>
      <c r="J141" s="3" t="str">
        <f>TEXT(Table1[[#This Row],[Date]],"mmm")</f>
        <v>May</v>
      </c>
      <c r="K141" s="3">
        <f>YEAR(Table1[[#This Row],[Date]])</f>
        <v>2024</v>
      </c>
      <c r="L141" s="6">
        <f>Table1[[#This Row],[Revenue]]/Table1[[#This Row],[Target]]</f>
        <v>0.98027683017684197</v>
      </c>
      <c r="M141" s="3" t="str">
        <f>IF(Table1[[#This Row],[Achieved %]]&gt;1,"▲","▼")</f>
        <v>▼</v>
      </c>
    </row>
    <row r="142" spans="1:13" x14ac:dyDescent="0.25">
      <c r="A142" s="5">
        <v>45432</v>
      </c>
      <c r="B142" s="3" t="s">
        <v>8</v>
      </c>
      <c r="C142" s="3" t="s">
        <v>22</v>
      </c>
      <c r="D142" s="3" t="s">
        <v>10</v>
      </c>
      <c r="E142" s="3" t="str">
        <f>VLOOKUP(Table1[[#This Row],[Product]],Master!A:C,2,FALSE)</f>
        <v>Electronics</v>
      </c>
      <c r="F142" s="3">
        <f>VLOOKUP(Table1[[#This Row],[Product]],Master!A:C,3,FALSE)</f>
        <v>50000</v>
      </c>
      <c r="G142" s="3">
        <v>3</v>
      </c>
      <c r="H142" s="3">
        <v>150000</v>
      </c>
      <c r="I142" s="3">
        <v>164202</v>
      </c>
      <c r="J142" s="3" t="str">
        <f>TEXT(Table1[[#This Row],[Date]],"mmm")</f>
        <v>May</v>
      </c>
      <c r="K142" s="3">
        <f>YEAR(Table1[[#This Row],[Date]])</f>
        <v>2024</v>
      </c>
      <c r="L142" s="6">
        <f>Table1[[#This Row],[Revenue]]/Table1[[#This Row],[Target]]</f>
        <v>0.91350897065809189</v>
      </c>
      <c r="M142" s="3" t="str">
        <f>IF(Table1[[#This Row],[Achieved %]]&gt;1,"▲","▼")</f>
        <v>▼</v>
      </c>
    </row>
    <row r="143" spans="1:13" x14ac:dyDescent="0.25">
      <c r="A143" s="5">
        <v>45433</v>
      </c>
      <c r="B143" s="3" t="s">
        <v>16</v>
      </c>
      <c r="C143" s="3" t="s">
        <v>20</v>
      </c>
      <c r="D143" s="3" t="s">
        <v>10</v>
      </c>
      <c r="E143" s="3" t="str">
        <f>VLOOKUP(Table1[[#This Row],[Product]],Master!A:C,2,FALSE)</f>
        <v>Electronics</v>
      </c>
      <c r="F143" s="3">
        <f>VLOOKUP(Table1[[#This Row],[Product]],Master!A:C,3,FALSE)</f>
        <v>50000</v>
      </c>
      <c r="G143" s="3">
        <v>3</v>
      </c>
      <c r="H143" s="3">
        <v>150000</v>
      </c>
      <c r="I143" s="3">
        <v>156214</v>
      </c>
      <c r="J143" s="3" t="str">
        <f>TEXT(Table1[[#This Row],[Date]],"mmm")</f>
        <v>May</v>
      </c>
      <c r="K143" s="3">
        <f>YEAR(Table1[[#This Row],[Date]])</f>
        <v>2024</v>
      </c>
      <c r="L143" s="6">
        <f>Table1[[#This Row],[Revenue]]/Table1[[#This Row],[Target]]</f>
        <v>0.96022123497253764</v>
      </c>
      <c r="M143" s="3" t="str">
        <f>IF(Table1[[#This Row],[Achieved %]]&gt;1,"▲","▼")</f>
        <v>▼</v>
      </c>
    </row>
    <row r="144" spans="1:13" x14ac:dyDescent="0.25">
      <c r="A144" s="5">
        <v>45434</v>
      </c>
      <c r="B144" s="3" t="s">
        <v>12</v>
      </c>
      <c r="C144" s="3" t="s">
        <v>22</v>
      </c>
      <c r="D144" s="3" t="s">
        <v>10</v>
      </c>
      <c r="E144" s="3" t="str">
        <f>VLOOKUP(Table1[[#This Row],[Product]],Master!A:C,2,FALSE)</f>
        <v>Electronics</v>
      </c>
      <c r="F144" s="3">
        <f>VLOOKUP(Table1[[#This Row],[Product]],Master!A:C,3,FALSE)</f>
        <v>50000</v>
      </c>
      <c r="G144" s="3">
        <v>6</v>
      </c>
      <c r="H144" s="3">
        <v>300000</v>
      </c>
      <c r="I144" s="3">
        <v>280612</v>
      </c>
      <c r="J144" s="3" t="str">
        <f>TEXT(Table1[[#This Row],[Date]],"mmm")</f>
        <v>May</v>
      </c>
      <c r="K144" s="3">
        <f>YEAR(Table1[[#This Row],[Date]])</f>
        <v>2024</v>
      </c>
      <c r="L144" s="6">
        <f>Table1[[#This Row],[Revenue]]/Table1[[#This Row],[Target]]</f>
        <v>1.0690918421165168</v>
      </c>
      <c r="M144" s="3" t="str">
        <f>IF(Table1[[#This Row],[Achieved %]]&gt;1,"▲","▼")</f>
        <v>▲</v>
      </c>
    </row>
    <row r="145" spans="1:13" x14ac:dyDescent="0.25">
      <c r="A145" s="5">
        <v>45435</v>
      </c>
      <c r="B145" s="3" t="s">
        <v>8</v>
      </c>
      <c r="C145" s="3" t="s">
        <v>13</v>
      </c>
      <c r="D145" s="3" t="s">
        <v>17</v>
      </c>
      <c r="E145" s="3" t="str">
        <f>VLOOKUP(Table1[[#This Row],[Product]],Master!A:C,2,FALSE)</f>
        <v>Electronics</v>
      </c>
      <c r="F145" s="3">
        <f>VLOOKUP(Table1[[#This Row],[Product]],Master!A:C,3,FALSE)</f>
        <v>20000</v>
      </c>
      <c r="G145" s="3">
        <v>9</v>
      </c>
      <c r="H145" s="3">
        <v>180000</v>
      </c>
      <c r="I145" s="3">
        <v>187045</v>
      </c>
      <c r="J145" s="3" t="str">
        <f>TEXT(Table1[[#This Row],[Date]],"mmm")</f>
        <v>May</v>
      </c>
      <c r="K145" s="3">
        <f>YEAR(Table1[[#This Row],[Date]])</f>
        <v>2024</v>
      </c>
      <c r="L145" s="6">
        <f>Table1[[#This Row],[Revenue]]/Table1[[#This Row],[Target]]</f>
        <v>0.96233526691437887</v>
      </c>
      <c r="M145" s="3" t="str">
        <f>IF(Table1[[#This Row],[Achieved %]]&gt;1,"▲","▼")</f>
        <v>▼</v>
      </c>
    </row>
    <row r="146" spans="1:13" x14ac:dyDescent="0.25">
      <c r="A146" s="5">
        <v>45436</v>
      </c>
      <c r="B146" s="3" t="s">
        <v>8</v>
      </c>
      <c r="C146" s="3" t="s">
        <v>9</v>
      </c>
      <c r="D146" s="3" t="s">
        <v>21</v>
      </c>
      <c r="E146" s="3" t="str">
        <f>VLOOKUP(Table1[[#This Row],[Product]],Master!A:C,2,FALSE)</f>
        <v>Electronics</v>
      </c>
      <c r="F146" s="3">
        <f>VLOOKUP(Table1[[#This Row],[Product]],Master!A:C,3,FALSE)</f>
        <v>30000</v>
      </c>
      <c r="G146" s="3">
        <v>2</v>
      </c>
      <c r="H146" s="3">
        <v>60000</v>
      </c>
      <c r="I146" s="3">
        <v>49114</v>
      </c>
      <c r="J146" s="3" t="str">
        <f>TEXT(Table1[[#This Row],[Date]],"mmm")</f>
        <v>May</v>
      </c>
      <c r="K146" s="3">
        <f>YEAR(Table1[[#This Row],[Date]])</f>
        <v>2024</v>
      </c>
      <c r="L146" s="6">
        <f>Table1[[#This Row],[Revenue]]/Table1[[#This Row],[Target]]</f>
        <v>1.2216475953903163</v>
      </c>
      <c r="M146" s="3" t="str">
        <f>IF(Table1[[#This Row],[Achieved %]]&gt;1,"▲","▼")</f>
        <v>▲</v>
      </c>
    </row>
    <row r="147" spans="1:13" x14ac:dyDescent="0.25">
      <c r="A147" s="5">
        <v>45437</v>
      </c>
      <c r="B147" s="3" t="s">
        <v>12</v>
      </c>
      <c r="C147" s="3" t="s">
        <v>9</v>
      </c>
      <c r="D147" s="3" t="s">
        <v>21</v>
      </c>
      <c r="E147" s="3" t="str">
        <f>VLOOKUP(Table1[[#This Row],[Product]],Master!A:C,2,FALSE)</f>
        <v>Electronics</v>
      </c>
      <c r="F147" s="3">
        <f>VLOOKUP(Table1[[#This Row],[Product]],Master!A:C,3,FALSE)</f>
        <v>30000</v>
      </c>
      <c r="G147" s="3">
        <v>9</v>
      </c>
      <c r="H147" s="3">
        <v>270000</v>
      </c>
      <c r="I147" s="3">
        <v>251608</v>
      </c>
      <c r="J147" s="3" t="str">
        <f>TEXT(Table1[[#This Row],[Date]],"mmm")</f>
        <v>May</v>
      </c>
      <c r="K147" s="3">
        <f>YEAR(Table1[[#This Row],[Date]])</f>
        <v>2024</v>
      </c>
      <c r="L147" s="6">
        <f>Table1[[#This Row],[Revenue]]/Table1[[#This Row],[Target]]</f>
        <v>1.0730978347270357</v>
      </c>
      <c r="M147" s="3" t="str">
        <f>IF(Table1[[#This Row],[Achieved %]]&gt;1,"▲","▼")</f>
        <v>▲</v>
      </c>
    </row>
    <row r="148" spans="1:13" x14ac:dyDescent="0.25">
      <c r="A148" s="5">
        <v>45438</v>
      </c>
      <c r="B148" s="3" t="s">
        <v>8</v>
      </c>
      <c r="C148" s="3" t="s">
        <v>22</v>
      </c>
      <c r="D148" s="3" t="s">
        <v>10</v>
      </c>
      <c r="E148" s="3" t="str">
        <f>VLOOKUP(Table1[[#This Row],[Product]],Master!A:C,2,FALSE)</f>
        <v>Electronics</v>
      </c>
      <c r="F148" s="3">
        <f>VLOOKUP(Table1[[#This Row],[Product]],Master!A:C,3,FALSE)</f>
        <v>50000</v>
      </c>
      <c r="G148" s="3">
        <v>8</v>
      </c>
      <c r="H148" s="3">
        <v>400000</v>
      </c>
      <c r="I148" s="3">
        <v>391498</v>
      </c>
      <c r="J148" s="3" t="str">
        <f>TEXT(Table1[[#This Row],[Date]],"mmm")</f>
        <v>May</v>
      </c>
      <c r="K148" s="3">
        <f>YEAR(Table1[[#This Row],[Date]])</f>
        <v>2024</v>
      </c>
      <c r="L148" s="6">
        <f>Table1[[#This Row],[Revenue]]/Table1[[#This Row],[Target]]</f>
        <v>1.0217165860361994</v>
      </c>
      <c r="M148" s="3" t="str">
        <f>IF(Table1[[#This Row],[Achieved %]]&gt;1,"▲","▼")</f>
        <v>▲</v>
      </c>
    </row>
    <row r="149" spans="1:13" x14ac:dyDescent="0.25">
      <c r="A149" s="5">
        <v>45439</v>
      </c>
      <c r="B149" s="3" t="s">
        <v>12</v>
      </c>
      <c r="C149" s="3" t="s">
        <v>19</v>
      </c>
      <c r="D149" s="3" t="s">
        <v>10</v>
      </c>
      <c r="E149" s="3" t="str">
        <f>VLOOKUP(Table1[[#This Row],[Product]],Master!A:C,2,FALSE)</f>
        <v>Electronics</v>
      </c>
      <c r="F149" s="3">
        <f>VLOOKUP(Table1[[#This Row],[Product]],Master!A:C,3,FALSE)</f>
        <v>50000</v>
      </c>
      <c r="G149" s="3">
        <v>3</v>
      </c>
      <c r="H149" s="3">
        <v>150000</v>
      </c>
      <c r="I149" s="3">
        <v>146384</v>
      </c>
      <c r="J149" s="3" t="str">
        <f>TEXT(Table1[[#This Row],[Date]],"mmm")</f>
        <v>May</v>
      </c>
      <c r="K149" s="3">
        <f>YEAR(Table1[[#This Row],[Date]])</f>
        <v>2024</v>
      </c>
      <c r="L149" s="6">
        <f>Table1[[#This Row],[Revenue]]/Table1[[#This Row],[Target]]</f>
        <v>1.0247021532407914</v>
      </c>
      <c r="M149" s="3" t="str">
        <f>IF(Table1[[#This Row],[Achieved %]]&gt;1,"▲","▼")</f>
        <v>▲</v>
      </c>
    </row>
    <row r="150" spans="1:13" x14ac:dyDescent="0.25">
      <c r="A150" s="5">
        <v>45440</v>
      </c>
      <c r="B150" s="3" t="s">
        <v>12</v>
      </c>
      <c r="C150" s="3" t="s">
        <v>22</v>
      </c>
      <c r="D150" s="3" t="s">
        <v>21</v>
      </c>
      <c r="E150" s="3" t="str">
        <f>VLOOKUP(Table1[[#This Row],[Product]],Master!A:C,2,FALSE)</f>
        <v>Electronics</v>
      </c>
      <c r="F150" s="3">
        <f>VLOOKUP(Table1[[#This Row],[Product]],Master!A:C,3,FALSE)</f>
        <v>30000</v>
      </c>
      <c r="G150" s="3">
        <v>4</v>
      </c>
      <c r="H150" s="3">
        <v>120000</v>
      </c>
      <c r="I150" s="3">
        <v>102098</v>
      </c>
      <c r="J150" s="3" t="str">
        <f>TEXT(Table1[[#This Row],[Date]],"mmm")</f>
        <v>May</v>
      </c>
      <c r="K150" s="3">
        <f>YEAR(Table1[[#This Row],[Date]])</f>
        <v>2024</v>
      </c>
      <c r="L150" s="6">
        <f>Table1[[#This Row],[Revenue]]/Table1[[#This Row],[Target]]</f>
        <v>1.1753413387137848</v>
      </c>
      <c r="M150" s="3" t="str">
        <f>IF(Table1[[#This Row],[Achieved %]]&gt;1,"▲","▼")</f>
        <v>▲</v>
      </c>
    </row>
    <row r="151" spans="1:13" x14ac:dyDescent="0.25">
      <c r="A151" s="5">
        <v>45441</v>
      </c>
      <c r="B151" s="3" t="s">
        <v>16</v>
      </c>
      <c r="C151" s="3" t="s">
        <v>9</v>
      </c>
      <c r="D151" s="3" t="s">
        <v>14</v>
      </c>
      <c r="E151" s="3" t="str">
        <f>VLOOKUP(Table1[[#This Row],[Product]],Master!A:C,2,FALSE)</f>
        <v>Office</v>
      </c>
      <c r="F151" s="3">
        <f>VLOOKUP(Table1[[#This Row],[Product]],Master!A:C,3,FALSE)</f>
        <v>15000</v>
      </c>
      <c r="G151" s="3">
        <v>7</v>
      </c>
      <c r="H151" s="3">
        <v>105000</v>
      </c>
      <c r="I151" s="3">
        <v>123372</v>
      </c>
      <c r="J151" s="3" t="str">
        <f>TEXT(Table1[[#This Row],[Date]],"mmm")</f>
        <v>May</v>
      </c>
      <c r="K151" s="3">
        <f>YEAR(Table1[[#This Row],[Date]])</f>
        <v>2024</v>
      </c>
      <c r="L151" s="6">
        <f>Table1[[#This Row],[Revenue]]/Table1[[#This Row],[Target]]</f>
        <v>0.85108452485166808</v>
      </c>
      <c r="M151" s="3" t="str">
        <f>IF(Table1[[#This Row],[Achieved %]]&gt;1,"▲","▼")</f>
        <v>▼</v>
      </c>
    </row>
    <row r="152" spans="1:13" x14ac:dyDescent="0.25">
      <c r="A152" s="5">
        <v>45442</v>
      </c>
      <c r="B152" s="3" t="s">
        <v>8</v>
      </c>
      <c r="C152" s="3" t="s">
        <v>9</v>
      </c>
      <c r="D152" s="3" t="s">
        <v>21</v>
      </c>
      <c r="E152" s="3" t="str">
        <f>VLOOKUP(Table1[[#This Row],[Product]],Master!A:C,2,FALSE)</f>
        <v>Electronics</v>
      </c>
      <c r="F152" s="3">
        <f>VLOOKUP(Table1[[#This Row],[Product]],Master!A:C,3,FALSE)</f>
        <v>30000</v>
      </c>
      <c r="G152" s="3">
        <v>2</v>
      </c>
      <c r="H152" s="3">
        <v>60000</v>
      </c>
      <c r="I152" s="3">
        <v>64204</v>
      </c>
      <c r="J152" s="3" t="str">
        <f>TEXT(Table1[[#This Row],[Date]],"mmm")</f>
        <v>May</v>
      </c>
      <c r="K152" s="3">
        <f>YEAR(Table1[[#This Row],[Date]])</f>
        <v>2024</v>
      </c>
      <c r="L152" s="6">
        <f>Table1[[#This Row],[Revenue]]/Table1[[#This Row],[Target]]</f>
        <v>0.93452121363154939</v>
      </c>
      <c r="M152" s="3" t="str">
        <f>IF(Table1[[#This Row],[Achieved %]]&gt;1,"▲","▼")</f>
        <v>▼</v>
      </c>
    </row>
    <row r="153" spans="1:13" x14ac:dyDescent="0.25">
      <c r="A153" s="5">
        <v>45443</v>
      </c>
      <c r="B153" s="3" t="s">
        <v>16</v>
      </c>
      <c r="C153" s="3" t="s">
        <v>20</v>
      </c>
      <c r="D153" s="3" t="s">
        <v>14</v>
      </c>
      <c r="E153" s="3" t="str">
        <f>VLOOKUP(Table1[[#This Row],[Product]],Master!A:C,2,FALSE)</f>
        <v>Office</v>
      </c>
      <c r="F153" s="3">
        <f>VLOOKUP(Table1[[#This Row],[Product]],Master!A:C,3,FALSE)</f>
        <v>15000</v>
      </c>
      <c r="G153" s="3">
        <v>6</v>
      </c>
      <c r="H153" s="3">
        <v>90000</v>
      </c>
      <c r="I153" s="3">
        <v>101782</v>
      </c>
      <c r="J153" s="3" t="str">
        <f>TEXT(Table1[[#This Row],[Date]],"mmm")</f>
        <v>May</v>
      </c>
      <c r="K153" s="3">
        <f>YEAR(Table1[[#This Row],[Date]])</f>
        <v>2024</v>
      </c>
      <c r="L153" s="6">
        <f>Table1[[#This Row],[Revenue]]/Table1[[#This Row],[Target]]</f>
        <v>0.88424279342123357</v>
      </c>
      <c r="M153" s="3" t="str">
        <f>IF(Table1[[#This Row],[Achieved %]]&gt;1,"▲","▼")</f>
        <v>▼</v>
      </c>
    </row>
    <row r="154" spans="1:13" x14ac:dyDescent="0.25">
      <c r="A154" s="5">
        <v>45444</v>
      </c>
      <c r="B154" s="3" t="s">
        <v>8</v>
      </c>
      <c r="C154" s="3" t="s">
        <v>20</v>
      </c>
      <c r="D154" s="3" t="s">
        <v>21</v>
      </c>
      <c r="E154" s="3" t="str">
        <f>VLOOKUP(Table1[[#This Row],[Product]],Master!A:C,2,FALSE)</f>
        <v>Electronics</v>
      </c>
      <c r="F154" s="3">
        <f>VLOOKUP(Table1[[#This Row],[Product]],Master!A:C,3,FALSE)</f>
        <v>30000</v>
      </c>
      <c r="G154" s="3">
        <v>7</v>
      </c>
      <c r="H154" s="3">
        <v>210000</v>
      </c>
      <c r="I154" s="3">
        <v>218582</v>
      </c>
      <c r="J154" s="3" t="str">
        <f>TEXT(Table1[[#This Row],[Date]],"mmm")</f>
        <v>Jun</v>
      </c>
      <c r="K154" s="3">
        <f>YEAR(Table1[[#This Row],[Date]])</f>
        <v>2024</v>
      </c>
      <c r="L154" s="6">
        <f>Table1[[#This Row],[Revenue]]/Table1[[#This Row],[Target]]</f>
        <v>0.96073784666623963</v>
      </c>
      <c r="M154" s="3" t="str">
        <f>IF(Table1[[#This Row],[Achieved %]]&gt;1,"▲","▼")</f>
        <v>▼</v>
      </c>
    </row>
    <row r="155" spans="1:13" x14ac:dyDescent="0.25">
      <c r="A155" s="5">
        <v>45445</v>
      </c>
      <c r="B155" s="3" t="s">
        <v>8</v>
      </c>
      <c r="C155" s="3" t="s">
        <v>20</v>
      </c>
      <c r="D155" s="3" t="s">
        <v>17</v>
      </c>
      <c r="E155" s="3" t="str">
        <f>VLOOKUP(Table1[[#This Row],[Product]],Master!A:C,2,FALSE)</f>
        <v>Electronics</v>
      </c>
      <c r="F155" s="3">
        <f>VLOOKUP(Table1[[#This Row],[Product]],Master!A:C,3,FALSE)</f>
        <v>20000</v>
      </c>
      <c r="G155" s="3">
        <v>3</v>
      </c>
      <c r="H155" s="3">
        <v>60000</v>
      </c>
      <c r="I155" s="3">
        <v>63218</v>
      </c>
      <c r="J155" s="3" t="str">
        <f>TEXT(Table1[[#This Row],[Date]],"mmm")</f>
        <v>Jun</v>
      </c>
      <c r="K155" s="3">
        <f>YEAR(Table1[[#This Row],[Date]])</f>
        <v>2024</v>
      </c>
      <c r="L155" s="6">
        <f>Table1[[#This Row],[Revenue]]/Table1[[#This Row],[Target]]</f>
        <v>0.94909677623461675</v>
      </c>
      <c r="M155" s="3" t="str">
        <f>IF(Table1[[#This Row],[Achieved %]]&gt;1,"▲","▼")</f>
        <v>▼</v>
      </c>
    </row>
    <row r="156" spans="1:13" x14ac:dyDescent="0.25">
      <c r="A156" s="5">
        <v>45446</v>
      </c>
      <c r="B156" s="3" t="s">
        <v>16</v>
      </c>
      <c r="C156" s="3" t="s">
        <v>22</v>
      </c>
      <c r="D156" s="3" t="s">
        <v>10</v>
      </c>
      <c r="E156" s="3" t="str">
        <f>VLOOKUP(Table1[[#This Row],[Product]],Master!A:C,2,FALSE)</f>
        <v>Electronics</v>
      </c>
      <c r="F156" s="3">
        <f>VLOOKUP(Table1[[#This Row],[Product]],Master!A:C,3,FALSE)</f>
        <v>50000</v>
      </c>
      <c r="G156" s="3">
        <v>4</v>
      </c>
      <c r="H156" s="3">
        <v>200000</v>
      </c>
      <c r="I156" s="3">
        <v>205544</v>
      </c>
      <c r="J156" s="3" t="str">
        <f>TEXT(Table1[[#This Row],[Date]],"mmm")</f>
        <v>Jun</v>
      </c>
      <c r="K156" s="3">
        <f>YEAR(Table1[[#This Row],[Date]])</f>
        <v>2024</v>
      </c>
      <c r="L156" s="6">
        <f>Table1[[#This Row],[Revenue]]/Table1[[#This Row],[Target]]</f>
        <v>0.97302767290701753</v>
      </c>
      <c r="M156" s="3" t="str">
        <f>IF(Table1[[#This Row],[Achieved %]]&gt;1,"▲","▼")</f>
        <v>▼</v>
      </c>
    </row>
    <row r="157" spans="1:13" x14ac:dyDescent="0.25">
      <c r="A157" s="5">
        <v>45447</v>
      </c>
      <c r="B157" s="3" t="s">
        <v>12</v>
      </c>
      <c r="C157" s="3" t="s">
        <v>22</v>
      </c>
      <c r="D157" s="3" t="s">
        <v>17</v>
      </c>
      <c r="E157" s="3" t="str">
        <f>VLOOKUP(Table1[[#This Row],[Product]],Master!A:C,2,FALSE)</f>
        <v>Electronics</v>
      </c>
      <c r="F157" s="3">
        <f>VLOOKUP(Table1[[#This Row],[Product]],Master!A:C,3,FALSE)</f>
        <v>20000</v>
      </c>
      <c r="G157" s="3">
        <v>2</v>
      </c>
      <c r="H157" s="3">
        <v>40000</v>
      </c>
      <c r="I157" s="3">
        <v>51311</v>
      </c>
      <c r="J157" s="3" t="str">
        <f>TEXT(Table1[[#This Row],[Date]],"mmm")</f>
        <v>Jun</v>
      </c>
      <c r="K157" s="3">
        <f>YEAR(Table1[[#This Row],[Date]])</f>
        <v>2024</v>
      </c>
      <c r="L157" s="6">
        <f>Table1[[#This Row],[Revenue]]/Table1[[#This Row],[Target]]</f>
        <v>0.7795599384147649</v>
      </c>
      <c r="M157" s="3" t="str">
        <f>IF(Table1[[#This Row],[Achieved %]]&gt;1,"▲","▼")</f>
        <v>▼</v>
      </c>
    </row>
    <row r="158" spans="1:13" x14ac:dyDescent="0.25">
      <c r="A158" s="5">
        <v>45448</v>
      </c>
      <c r="B158" s="3" t="s">
        <v>16</v>
      </c>
      <c r="C158" s="3" t="s">
        <v>22</v>
      </c>
      <c r="D158" s="3" t="s">
        <v>14</v>
      </c>
      <c r="E158" s="3" t="str">
        <f>VLOOKUP(Table1[[#This Row],[Product]],Master!A:C,2,FALSE)</f>
        <v>Office</v>
      </c>
      <c r="F158" s="3">
        <f>VLOOKUP(Table1[[#This Row],[Product]],Master!A:C,3,FALSE)</f>
        <v>15000</v>
      </c>
      <c r="G158" s="3">
        <v>6</v>
      </c>
      <c r="H158" s="3">
        <v>90000</v>
      </c>
      <c r="I158" s="3">
        <v>84098</v>
      </c>
      <c r="J158" s="3" t="str">
        <f>TEXT(Table1[[#This Row],[Date]],"mmm")</f>
        <v>Jun</v>
      </c>
      <c r="K158" s="3">
        <f>YEAR(Table1[[#This Row],[Date]])</f>
        <v>2024</v>
      </c>
      <c r="L158" s="6">
        <f>Table1[[#This Row],[Revenue]]/Table1[[#This Row],[Target]]</f>
        <v>1.0701800280624985</v>
      </c>
      <c r="M158" s="3" t="str">
        <f>IF(Table1[[#This Row],[Achieved %]]&gt;1,"▲","▼")</f>
        <v>▲</v>
      </c>
    </row>
    <row r="159" spans="1:13" x14ac:dyDescent="0.25">
      <c r="A159" s="5">
        <v>45449</v>
      </c>
      <c r="B159" s="3" t="s">
        <v>18</v>
      </c>
      <c r="C159" s="3" t="s">
        <v>20</v>
      </c>
      <c r="D159" s="3" t="s">
        <v>10</v>
      </c>
      <c r="E159" s="3" t="str">
        <f>VLOOKUP(Table1[[#This Row],[Product]],Master!A:C,2,FALSE)</f>
        <v>Electronics</v>
      </c>
      <c r="F159" s="3">
        <f>VLOOKUP(Table1[[#This Row],[Product]],Master!A:C,3,FALSE)</f>
        <v>50000</v>
      </c>
      <c r="G159" s="3">
        <v>6</v>
      </c>
      <c r="H159" s="3">
        <v>300000</v>
      </c>
      <c r="I159" s="3">
        <v>300016</v>
      </c>
      <c r="J159" s="3" t="str">
        <f>TEXT(Table1[[#This Row],[Date]],"mmm")</f>
        <v>Jun</v>
      </c>
      <c r="K159" s="3">
        <f>YEAR(Table1[[#This Row],[Date]])</f>
        <v>2024</v>
      </c>
      <c r="L159" s="6">
        <f>Table1[[#This Row],[Revenue]]/Table1[[#This Row],[Target]]</f>
        <v>0.99994666951095945</v>
      </c>
      <c r="M159" s="3" t="str">
        <f>IF(Table1[[#This Row],[Achieved %]]&gt;1,"▲","▼")</f>
        <v>▼</v>
      </c>
    </row>
    <row r="160" spans="1:13" x14ac:dyDescent="0.25">
      <c r="A160" s="5">
        <v>45450</v>
      </c>
      <c r="B160" s="3" t="s">
        <v>16</v>
      </c>
      <c r="C160" s="3" t="s">
        <v>19</v>
      </c>
      <c r="D160" s="3" t="s">
        <v>21</v>
      </c>
      <c r="E160" s="3" t="str">
        <f>VLOOKUP(Table1[[#This Row],[Product]],Master!A:C,2,FALSE)</f>
        <v>Electronics</v>
      </c>
      <c r="F160" s="3">
        <f>VLOOKUP(Table1[[#This Row],[Product]],Master!A:C,3,FALSE)</f>
        <v>30000</v>
      </c>
      <c r="G160" s="3">
        <v>6</v>
      </c>
      <c r="H160" s="3">
        <v>180000</v>
      </c>
      <c r="I160" s="3">
        <v>171749</v>
      </c>
      <c r="J160" s="3" t="str">
        <f>TEXT(Table1[[#This Row],[Date]],"mmm")</f>
        <v>Jun</v>
      </c>
      <c r="K160" s="3">
        <f>YEAR(Table1[[#This Row],[Date]])</f>
        <v>2024</v>
      </c>
      <c r="L160" s="6">
        <f>Table1[[#This Row],[Revenue]]/Table1[[#This Row],[Target]]</f>
        <v>1.0480410366290343</v>
      </c>
      <c r="M160" s="3" t="str">
        <f>IF(Table1[[#This Row],[Achieved %]]&gt;1,"▲","▼")</f>
        <v>▲</v>
      </c>
    </row>
    <row r="161" spans="1:13" x14ac:dyDescent="0.25">
      <c r="A161" s="5">
        <v>45451</v>
      </c>
      <c r="B161" s="3" t="s">
        <v>18</v>
      </c>
      <c r="C161" s="3" t="s">
        <v>13</v>
      </c>
      <c r="D161" s="3" t="s">
        <v>17</v>
      </c>
      <c r="E161" s="3" t="str">
        <f>VLOOKUP(Table1[[#This Row],[Product]],Master!A:C,2,FALSE)</f>
        <v>Electronics</v>
      </c>
      <c r="F161" s="3">
        <f>VLOOKUP(Table1[[#This Row],[Product]],Master!A:C,3,FALSE)</f>
        <v>20000</v>
      </c>
      <c r="G161" s="3">
        <v>1</v>
      </c>
      <c r="H161" s="3">
        <v>20000</v>
      </c>
      <c r="I161" s="3">
        <v>35312</v>
      </c>
      <c r="J161" s="3" t="str">
        <f>TEXT(Table1[[#This Row],[Date]],"mmm")</f>
        <v>Jun</v>
      </c>
      <c r="K161" s="3">
        <f>YEAR(Table1[[#This Row],[Date]])</f>
        <v>2024</v>
      </c>
      <c r="L161" s="6">
        <f>Table1[[#This Row],[Revenue]]/Table1[[#This Row],[Target]]</f>
        <v>0.56637970095151791</v>
      </c>
      <c r="M161" s="3" t="str">
        <f>IF(Table1[[#This Row],[Achieved %]]&gt;1,"▲","▼")</f>
        <v>▼</v>
      </c>
    </row>
    <row r="162" spans="1:13" x14ac:dyDescent="0.25">
      <c r="A162" s="5">
        <v>45452</v>
      </c>
      <c r="B162" s="3" t="s">
        <v>12</v>
      </c>
      <c r="C162" s="3" t="s">
        <v>19</v>
      </c>
      <c r="D162" s="3" t="s">
        <v>21</v>
      </c>
      <c r="E162" s="3" t="str">
        <f>VLOOKUP(Table1[[#This Row],[Product]],Master!A:C,2,FALSE)</f>
        <v>Electronics</v>
      </c>
      <c r="F162" s="3">
        <f>VLOOKUP(Table1[[#This Row],[Product]],Master!A:C,3,FALSE)</f>
        <v>30000</v>
      </c>
      <c r="G162" s="3">
        <v>1</v>
      </c>
      <c r="H162" s="3">
        <v>30000</v>
      </c>
      <c r="I162" s="3">
        <v>40109</v>
      </c>
      <c r="J162" s="3" t="str">
        <f>TEXT(Table1[[#This Row],[Date]],"mmm")</f>
        <v>Jun</v>
      </c>
      <c r="K162" s="3">
        <f>YEAR(Table1[[#This Row],[Date]])</f>
        <v>2024</v>
      </c>
      <c r="L162" s="6">
        <f>Table1[[#This Row],[Revenue]]/Table1[[#This Row],[Target]]</f>
        <v>0.74796180408387147</v>
      </c>
      <c r="M162" s="3" t="str">
        <f>IF(Table1[[#This Row],[Achieved %]]&gt;1,"▲","▼")</f>
        <v>▼</v>
      </c>
    </row>
    <row r="163" spans="1:13" x14ac:dyDescent="0.25">
      <c r="A163" s="5">
        <v>45453</v>
      </c>
      <c r="B163" s="3" t="s">
        <v>8</v>
      </c>
      <c r="C163" s="3" t="s">
        <v>22</v>
      </c>
      <c r="D163" s="3" t="s">
        <v>17</v>
      </c>
      <c r="E163" s="3" t="str">
        <f>VLOOKUP(Table1[[#This Row],[Product]],Master!A:C,2,FALSE)</f>
        <v>Electronics</v>
      </c>
      <c r="F163" s="3">
        <f>VLOOKUP(Table1[[#This Row],[Product]],Master!A:C,3,FALSE)</f>
        <v>20000</v>
      </c>
      <c r="G163" s="3">
        <v>5</v>
      </c>
      <c r="H163" s="3">
        <v>100000</v>
      </c>
      <c r="I163" s="3">
        <v>109267</v>
      </c>
      <c r="J163" s="3" t="str">
        <f>TEXT(Table1[[#This Row],[Date]],"mmm")</f>
        <v>Jun</v>
      </c>
      <c r="K163" s="3">
        <f>YEAR(Table1[[#This Row],[Date]])</f>
        <v>2024</v>
      </c>
      <c r="L163" s="6">
        <f>Table1[[#This Row],[Revenue]]/Table1[[#This Row],[Target]]</f>
        <v>0.91518939844600844</v>
      </c>
      <c r="M163" s="3" t="str">
        <f>IF(Table1[[#This Row],[Achieved %]]&gt;1,"▲","▼")</f>
        <v>▼</v>
      </c>
    </row>
    <row r="164" spans="1:13" x14ac:dyDescent="0.25">
      <c r="A164" s="5">
        <v>45454</v>
      </c>
      <c r="B164" s="3" t="s">
        <v>18</v>
      </c>
      <c r="C164" s="3" t="s">
        <v>22</v>
      </c>
      <c r="D164" s="3" t="s">
        <v>17</v>
      </c>
      <c r="E164" s="3" t="str">
        <f>VLOOKUP(Table1[[#This Row],[Product]],Master!A:C,2,FALSE)</f>
        <v>Electronics</v>
      </c>
      <c r="F164" s="3">
        <f>VLOOKUP(Table1[[#This Row],[Product]],Master!A:C,3,FALSE)</f>
        <v>20000</v>
      </c>
      <c r="G164" s="3">
        <v>2</v>
      </c>
      <c r="H164" s="3">
        <v>40000</v>
      </c>
      <c r="I164" s="3">
        <v>45683</v>
      </c>
      <c r="J164" s="3" t="str">
        <f>TEXT(Table1[[#This Row],[Date]],"mmm")</f>
        <v>Jun</v>
      </c>
      <c r="K164" s="3">
        <f>YEAR(Table1[[#This Row],[Date]])</f>
        <v>2024</v>
      </c>
      <c r="L164" s="6">
        <f>Table1[[#This Row],[Revenue]]/Table1[[#This Row],[Target]]</f>
        <v>0.8755992382286627</v>
      </c>
      <c r="M164" s="3" t="str">
        <f>IF(Table1[[#This Row],[Achieved %]]&gt;1,"▲","▼")</f>
        <v>▼</v>
      </c>
    </row>
    <row r="165" spans="1:13" x14ac:dyDescent="0.25">
      <c r="A165" s="5">
        <v>45455</v>
      </c>
      <c r="B165" s="3" t="s">
        <v>8</v>
      </c>
      <c r="C165" s="3" t="s">
        <v>20</v>
      </c>
      <c r="D165" s="3" t="s">
        <v>10</v>
      </c>
      <c r="E165" s="3" t="str">
        <f>VLOOKUP(Table1[[#This Row],[Product]],Master!A:C,2,FALSE)</f>
        <v>Electronics</v>
      </c>
      <c r="F165" s="3">
        <f>VLOOKUP(Table1[[#This Row],[Product]],Master!A:C,3,FALSE)</f>
        <v>50000</v>
      </c>
      <c r="G165" s="3">
        <v>1</v>
      </c>
      <c r="H165" s="3">
        <v>50000</v>
      </c>
      <c r="I165" s="3">
        <v>50183</v>
      </c>
      <c r="J165" s="3" t="str">
        <f>TEXT(Table1[[#This Row],[Date]],"mmm")</f>
        <v>Jun</v>
      </c>
      <c r="K165" s="3">
        <f>YEAR(Table1[[#This Row],[Date]])</f>
        <v>2024</v>
      </c>
      <c r="L165" s="6">
        <f>Table1[[#This Row],[Revenue]]/Table1[[#This Row],[Target]]</f>
        <v>0.99635334675089171</v>
      </c>
      <c r="M165" s="3" t="str">
        <f>IF(Table1[[#This Row],[Achieved %]]&gt;1,"▲","▼")</f>
        <v>▼</v>
      </c>
    </row>
    <row r="166" spans="1:13" x14ac:dyDescent="0.25">
      <c r="A166" s="5">
        <v>45456</v>
      </c>
      <c r="B166" s="3" t="s">
        <v>8</v>
      </c>
      <c r="C166" s="3" t="s">
        <v>13</v>
      </c>
      <c r="D166" s="3" t="s">
        <v>10</v>
      </c>
      <c r="E166" s="3" t="str">
        <f>VLOOKUP(Table1[[#This Row],[Product]],Master!A:C,2,FALSE)</f>
        <v>Electronics</v>
      </c>
      <c r="F166" s="3">
        <f>VLOOKUP(Table1[[#This Row],[Product]],Master!A:C,3,FALSE)</f>
        <v>50000</v>
      </c>
      <c r="G166" s="3">
        <v>4</v>
      </c>
      <c r="H166" s="3">
        <v>200000</v>
      </c>
      <c r="I166" s="3">
        <v>217437</v>
      </c>
      <c r="J166" s="3" t="str">
        <f>TEXT(Table1[[#This Row],[Date]],"mmm")</f>
        <v>Jun</v>
      </c>
      <c r="K166" s="3">
        <f>YEAR(Table1[[#This Row],[Date]])</f>
        <v>2024</v>
      </c>
      <c r="L166" s="6">
        <f>Table1[[#This Row],[Revenue]]/Table1[[#This Row],[Target]]</f>
        <v>0.9198066566407741</v>
      </c>
      <c r="M166" s="3" t="str">
        <f>IF(Table1[[#This Row],[Achieved %]]&gt;1,"▲","▼")</f>
        <v>▼</v>
      </c>
    </row>
    <row r="167" spans="1:13" x14ac:dyDescent="0.25">
      <c r="A167" s="5">
        <v>45457</v>
      </c>
      <c r="B167" s="3" t="s">
        <v>16</v>
      </c>
      <c r="C167" s="3" t="s">
        <v>13</v>
      </c>
      <c r="D167" s="3" t="s">
        <v>10</v>
      </c>
      <c r="E167" s="3" t="str">
        <f>VLOOKUP(Table1[[#This Row],[Product]],Master!A:C,2,FALSE)</f>
        <v>Electronics</v>
      </c>
      <c r="F167" s="3">
        <f>VLOOKUP(Table1[[#This Row],[Product]],Master!A:C,3,FALSE)</f>
        <v>50000</v>
      </c>
      <c r="G167" s="3">
        <v>5</v>
      </c>
      <c r="H167" s="3">
        <v>250000</v>
      </c>
      <c r="I167" s="3">
        <v>262884</v>
      </c>
      <c r="J167" s="3" t="str">
        <f>TEXT(Table1[[#This Row],[Date]],"mmm")</f>
        <v>Jun</v>
      </c>
      <c r="K167" s="3">
        <f>YEAR(Table1[[#This Row],[Date]])</f>
        <v>2024</v>
      </c>
      <c r="L167" s="6">
        <f>Table1[[#This Row],[Revenue]]/Table1[[#This Row],[Target]]</f>
        <v>0.95098979017361274</v>
      </c>
      <c r="M167" s="3" t="str">
        <f>IF(Table1[[#This Row],[Achieved %]]&gt;1,"▲","▼")</f>
        <v>▼</v>
      </c>
    </row>
    <row r="168" spans="1:13" x14ac:dyDescent="0.25">
      <c r="A168" s="5">
        <v>45458</v>
      </c>
      <c r="B168" s="3" t="s">
        <v>16</v>
      </c>
      <c r="C168" s="3" t="s">
        <v>9</v>
      </c>
      <c r="D168" s="3" t="s">
        <v>21</v>
      </c>
      <c r="E168" s="3" t="str">
        <f>VLOOKUP(Table1[[#This Row],[Product]],Master!A:C,2,FALSE)</f>
        <v>Electronics</v>
      </c>
      <c r="F168" s="3">
        <f>VLOOKUP(Table1[[#This Row],[Product]],Master!A:C,3,FALSE)</f>
        <v>30000</v>
      </c>
      <c r="G168" s="3">
        <v>9</v>
      </c>
      <c r="H168" s="3">
        <v>270000</v>
      </c>
      <c r="I168" s="3">
        <v>273088</v>
      </c>
      <c r="J168" s="3" t="str">
        <f>TEXT(Table1[[#This Row],[Date]],"mmm")</f>
        <v>Jun</v>
      </c>
      <c r="K168" s="3">
        <f>YEAR(Table1[[#This Row],[Date]])</f>
        <v>2024</v>
      </c>
      <c r="L168" s="6">
        <f>Table1[[#This Row],[Revenue]]/Table1[[#This Row],[Target]]</f>
        <v>0.98869228966486988</v>
      </c>
      <c r="M168" s="3" t="str">
        <f>IF(Table1[[#This Row],[Achieved %]]&gt;1,"▲","▼")</f>
        <v>▼</v>
      </c>
    </row>
    <row r="169" spans="1:13" x14ac:dyDescent="0.25">
      <c r="A169" s="5">
        <v>45459</v>
      </c>
      <c r="B169" s="3" t="s">
        <v>18</v>
      </c>
      <c r="C169" s="3" t="s">
        <v>13</v>
      </c>
      <c r="D169" s="3" t="s">
        <v>17</v>
      </c>
      <c r="E169" s="3" t="str">
        <f>VLOOKUP(Table1[[#This Row],[Product]],Master!A:C,2,FALSE)</f>
        <v>Electronics</v>
      </c>
      <c r="F169" s="3">
        <f>VLOOKUP(Table1[[#This Row],[Product]],Master!A:C,3,FALSE)</f>
        <v>20000</v>
      </c>
      <c r="G169" s="3">
        <v>7</v>
      </c>
      <c r="H169" s="3">
        <v>140000</v>
      </c>
      <c r="I169" s="3">
        <v>144993</v>
      </c>
      <c r="J169" s="3" t="str">
        <f>TEXT(Table1[[#This Row],[Date]],"mmm")</f>
        <v>Jun</v>
      </c>
      <c r="K169" s="3">
        <f>YEAR(Table1[[#This Row],[Date]])</f>
        <v>2024</v>
      </c>
      <c r="L169" s="6">
        <f>Table1[[#This Row],[Revenue]]/Table1[[#This Row],[Target]]</f>
        <v>0.96556385480678375</v>
      </c>
      <c r="M169" s="3" t="str">
        <f>IF(Table1[[#This Row],[Achieved %]]&gt;1,"▲","▼")</f>
        <v>▼</v>
      </c>
    </row>
    <row r="170" spans="1:13" x14ac:dyDescent="0.25">
      <c r="A170" s="5">
        <v>45460</v>
      </c>
      <c r="B170" s="3" t="s">
        <v>16</v>
      </c>
      <c r="C170" s="3" t="s">
        <v>20</v>
      </c>
      <c r="D170" s="3" t="s">
        <v>10</v>
      </c>
      <c r="E170" s="3" t="str">
        <f>VLOOKUP(Table1[[#This Row],[Product]],Master!A:C,2,FALSE)</f>
        <v>Electronics</v>
      </c>
      <c r="F170" s="3">
        <f>VLOOKUP(Table1[[#This Row],[Product]],Master!A:C,3,FALSE)</f>
        <v>50000</v>
      </c>
      <c r="G170" s="3">
        <v>8</v>
      </c>
      <c r="H170" s="3">
        <v>400000</v>
      </c>
      <c r="I170" s="3">
        <v>388199</v>
      </c>
      <c r="J170" s="3" t="str">
        <f>TEXT(Table1[[#This Row],[Date]],"mmm")</f>
        <v>Jun</v>
      </c>
      <c r="K170" s="3">
        <f>YEAR(Table1[[#This Row],[Date]])</f>
        <v>2024</v>
      </c>
      <c r="L170" s="6">
        <f>Table1[[#This Row],[Revenue]]/Table1[[#This Row],[Target]]</f>
        <v>1.0303993570308012</v>
      </c>
      <c r="M170" s="3" t="str">
        <f>IF(Table1[[#This Row],[Achieved %]]&gt;1,"▲","▼")</f>
        <v>▲</v>
      </c>
    </row>
    <row r="171" spans="1:13" x14ac:dyDescent="0.25">
      <c r="A171" s="5">
        <v>45461</v>
      </c>
      <c r="B171" s="3" t="s">
        <v>8</v>
      </c>
      <c r="C171" s="3" t="s">
        <v>20</v>
      </c>
      <c r="D171" s="3" t="s">
        <v>21</v>
      </c>
      <c r="E171" s="3" t="str">
        <f>VLOOKUP(Table1[[#This Row],[Product]],Master!A:C,2,FALSE)</f>
        <v>Electronics</v>
      </c>
      <c r="F171" s="3">
        <f>VLOOKUP(Table1[[#This Row],[Product]],Master!A:C,3,FALSE)</f>
        <v>30000</v>
      </c>
      <c r="G171" s="3">
        <v>7</v>
      </c>
      <c r="H171" s="3">
        <v>210000</v>
      </c>
      <c r="I171" s="3">
        <v>224384</v>
      </c>
      <c r="J171" s="3" t="str">
        <f>TEXT(Table1[[#This Row],[Date]],"mmm")</f>
        <v>Jun</v>
      </c>
      <c r="K171" s="3">
        <f>YEAR(Table1[[#This Row],[Date]])</f>
        <v>2024</v>
      </c>
      <c r="L171" s="6">
        <f>Table1[[#This Row],[Revenue]]/Table1[[#This Row],[Target]]</f>
        <v>0.93589560752994871</v>
      </c>
      <c r="M171" s="3" t="str">
        <f>IF(Table1[[#This Row],[Achieved %]]&gt;1,"▲","▼")</f>
        <v>▼</v>
      </c>
    </row>
    <row r="172" spans="1:13" x14ac:dyDescent="0.25">
      <c r="A172" s="5">
        <v>45462</v>
      </c>
      <c r="B172" s="3" t="s">
        <v>12</v>
      </c>
      <c r="C172" s="3" t="s">
        <v>20</v>
      </c>
      <c r="D172" s="3" t="s">
        <v>14</v>
      </c>
      <c r="E172" s="3" t="str">
        <f>VLOOKUP(Table1[[#This Row],[Product]],Master!A:C,2,FALSE)</f>
        <v>Office</v>
      </c>
      <c r="F172" s="3">
        <f>VLOOKUP(Table1[[#This Row],[Product]],Master!A:C,3,FALSE)</f>
        <v>15000</v>
      </c>
      <c r="G172" s="3">
        <v>8</v>
      </c>
      <c r="H172" s="3">
        <v>120000</v>
      </c>
      <c r="I172" s="3">
        <v>112263</v>
      </c>
      <c r="J172" s="3" t="str">
        <f>TEXT(Table1[[#This Row],[Date]],"mmm")</f>
        <v>Jun</v>
      </c>
      <c r="K172" s="3">
        <f>YEAR(Table1[[#This Row],[Date]])</f>
        <v>2024</v>
      </c>
      <c r="L172" s="6">
        <f>Table1[[#This Row],[Revenue]]/Table1[[#This Row],[Target]]</f>
        <v>1.0689185216856845</v>
      </c>
      <c r="M172" s="3" t="str">
        <f>IF(Table1[[#This Row],[Achieved %]]&gt;1,"▲","▼")</f>
        <v>▲</v>
      </c>
    </row>
    <row r="173" spans="1:13" x14ac:dyDescent="0.25">
      <c r="A173" s="5">
        <v>45463</v>
      </c>
      <c r="B173" s="3" t="s">
        <v>8</v>
      </c>
      <c r="C173" s="3" t="s">
        <v>19</v>
      </c>
      <c r="D173" s="3" t="s">
        <v>21</v>
      </c>
      <c r="E173" s="3" t="str">
        <f>VLOOKUP(Table1[[#This Row],[Product]],Master!A:C,2,FALSE)</f>
        <v>Electronics</v>
      </c>
      <c r="F173" s="3">
        <f>VLOOKUP(Table1[[#This Row],[Product]],Master!A:C,3,FALSE)</f>
        <v>30000</v>
      </c>
      <c r="G173" s="3">
        <v>7</v>
      </c>
      <c r="H173" s="3">
        <v>210000</v>
      </c>
      <c r="I173" s="3">
        <v>216449</v>
      </c>
      <c r="J173" s="3" t="str">
        <f>TEXT(Table1[[#This Row],[Date]],"mmm")</f>
        <v>Jun</v>
      </c>
      <c r="K173" s="3">
        <f>YEAR(Table1[[#This Row],[Date]])</f>
        <v>2024</v>
      </c>
      <c r="L173" s="6">
        <f>Table1[[#This Row],[Revenue]]/Table1[[#This Row],[Target]]</f>
        <v>0.97020545255464341</v>
      </c>
      <c r="M173" s="3" t="str">
        <f>IF(Table1[[#This Row],[Achieved %]]&gt;1,"▲","▼")</f>
        <v>▼</v>
      </c>
    </row>
    <row r="174" spans="1:13" x14ac:dyDescent="0.25">
      <c r="A174" s="5">
        <v>45464</v>
      </c>
      <c r="B174" s="3" t="s">
        <v>16</v>
      </c>
      <c r="C174" s="3" t="s">
        <v>19</v>
      </c>
      <c r="D174" s="3" t="s">
        <v>10</v>
      </c>
      <c r="E174" s="3" t="str">
        <f>VLOOKUP(Table1[[#This Row],[Product]],Master!A:C,2,FALSE)</f>
        <v>Electronics</v>
      </c>
      <c r="F174" s="3">
        <f>VLOOKUP(Table1[[#This Row],[Product]],Master!A:C,3,FALSE)</f>
        <v>50000</v>
      </c>
      <c r="G174" s="3">
        <v>6</v>
      </c>
      <c r="H174" s="3">
        <v>300000</v>
      </c>
      <c r="I174" s="3">
        <v>309764</v>
      </c>
      <c r="J174" s="3" t="str">
        <f>TEXT(Table1[[#This Row],[Date]],"mmm")</f>
        <v>Jun</v>
      </c>
      <c r="K174" s="3">
        <f>YEAR(Table1[[#This Row],[Date]])</f>
        <v>2024</v>
      </c>
      <c r="L174" s="6">
        <f>Table1[[#This Row],[Revenue]]/Table1[[#This Row],[Target]]</f>
        <v>0.9684792293487946</v>
      </c>
      <c r="M174" s="3" t="str">
        <f>IF(Table1[[#This Row],[Achieved %]]&gt;1,"▲","▼")</f>
        <v>▼</v>
      </c>
    </row>
    <row r="175" spans="1:13" x14ac:dyDescent="0.25">
      <c r="A175" s="5">
        <v>45465</v>
      </c>
      <c r="B175" s="3" t="s">
        <v>16</v>
      </c>
      <c r="C175" s="3" t="s">
        <v>22</v>
      </c>
      <c r="D175" s="3" t="s">
        <v>14</v>
      </c>
      <c r="E175" s="3" t="str">
        <f>VLOOKUP(Table1[[#This Row],[Product]],Master!A:C,2,FALSE)</f>
        <v>Office</v>
      </c>
      <c r="F175" s="3">
        <f>VLOOKUP(Table1[[#This Row],[Product]],Master!A:C,3,FALSE)</f>
        <v>15000</v>
      </c>
      <c r="G175" s="3">
        <v>9</v>
      </c>
      <c r="H175" s="3">
        <v>135000</v>
      </c>
      <c r="I175" s="3">
        <v>122008</v>
      </c>
      <c r="J175" s="3" t="str">
        <f>TEXT(Table1[[#This Row],[Date]],"mmm")</f>
        <v>Jun</v>
      </c>
      <c r="K175" s="3">
        <f>YEAR(Table1[[#This Row],[Date]])</f>
        <v>2024</v>
      </c>
      <c r="L175" s="6">
        <f>Table1[[#This Row],[Revenue]]/Table1[[#This Row],[Target]]</f>
        <v>1.1064848206674973</v>
      </c>
      <c r="M175" s="3" t="str">
        <f>IF(Table1[[#This Row],[Achieved %]]&gt;1,"▲","▼")</f>
        <v>▲</v>
      </c>
    </row>
    <row r="176" spans="1:13" x14ac:dyDescent="0.25">
      <c r="A176" s="5">
        <v>45466</v>
      </c>
      <c r="B176" s="3" t="s">
        <v>16</v>
      </c>
      <c r="C176" s="3" t="s">
        <v>13</v>
      </c>
      <c r="D176" s="3" t="s">
        <v>10</v>
      </c>
      <c r="E176" s="3" t="str">
        <f>VLOOKUP(Table1[[#This Row],[Product]],Master!A:C,2,FALSE)</f>
        <v>Electronics</v>
      </c>
      <c r="F176" s="3">
        <f>VLOOKUP(Table1[[#This Row],[Product]],Master!A:C,3,FALSE)</f>
        <v>50000</v>
      </c>
      <c r="G176" s="3">
        <v>2</v>
      </c>
      <c r="H176" s="3">
        <v>100000</v>
      </c>
      <c r="I176" s="3">
        <v>113533</v>
      </c>
      <c r="J176" s="3" t="str">
        <f>TEXT(Table1[[#This Row],[Date]],"mmm")</f>
        <v>Jun</v>
      </c>
      <c r="K176" s="3">
        <f>YEAR(Table1[[#This Row],[Date]])</f>
        <v>2024</v>
      </c>
      <c r="L176" s="6">
        <f>Table1[[#This Row],[Revenue]]/Table1[[#This Row],[Target]]</f>
        <v>0.88080117675037217</v>
      </c>
      <c r="M176" s="3" t="str">
        <f>IF(Table1[[#This Row],[Achieved %]]&gt;1,"▲","▼")</f>
        <v>▼</v>
      </c>
    </row>
    <row r="177" spans="1:13" x14ac:dyDescent="0.25">
      <c r="A177" s="5">
        <v>45467</v>
      </c>
      <c r="B177" s="3" t="s">
        <v>12</v>
      </c>
      <c r="C177" s="3" t="s">
        <v>19</v>
      </c>
      <c r="D177" s="3" t="s">
        <v>21</v>
      </c>
      <c r="E177" s="3" t="str">
        <f>VLOOKUP(Table1[[#This Row],[Product]],Master!A:C,2,FALSE)</f>
        <v>Electronics</v>
      </c>
      <c r="F177" s="3">
        <f>VLOOKUP(Table1[[#This Row],[Product]],Master!A:C,3,FALSE)</f>
        <v>30000</v>
      </c>
      <c r="G177" s="3">
        <v>9</v>
      </c>
      <c r="H177" s="3">
        <v>270000</v>
      </c>
      <c r="I177" s="3">
        <v>256056</v>
      </c>
      <c r="J177" s="3" t="str">
        <f>TEXT(Table1[[#This Row],[Date]],"mmm")</f>
        <v>Jun</v>
      </c>
      <c r="K177" s="3">
        <f>YEAR(Table1[[#This Row],[Date]])</f>
        <v>2024</v>
      </c>
      <c r="L177" s="6">
        <f>Table1[[#This Row],[Revenue]]/Table1[[#This Row],[Target]]</f>
        <v>1.0544568375667822</v>
      </c>
      <c r="M177" s="3" t="str">
        <f>IF(Table1[[#This Row],[Achieved %]]&gt;1,"▲","▼")</f>
        <v>▲</v>
      </c>
    </row>
    <row r="178" spans="1:13" x14ac:dyDescent="0.25">
      <c r="A178" s="5">
        <v>45468</v>
      </c>
      <c r="B178" s="3" t="s">
        <v>12</v>
      </c>
      <c r="C178" s="3" t="s">
        <v>19</v>
      </c>
      <c r="D178" s="3" t="s">
        <v>10</v>
      </c>
      <c r="E178" s="3" t="str">
        <f>VLOOKUP(Table1[[#This Row],[Product]],Master!A:C,2,FALSE)</f>
        <v>Electronics</v>
      </c>
      <c r="F178" s="3">
        <f>VLOOKUP(Table1[[#This Row],[Product]],Master!A:C,3,FALSE)</f>
        <v>50000</v>
      </c>
      <c r="G178" s="3">
        <v>5</v>
      </c>
      <c r="H178" s="3">
        <v>250000</v>
      </c>
      <c r="I178" s="3">
        <v>237018</v>
      </c>
      <c r="J178" s="3" t="str">
        <f>TEXT(Table1[[#This Row],[Date]],"mmm")</f>
        <v>Jun</v>
      </c>
      <c r="K178" s="3">
        <f>YEAR(Table1[[#This Row],[Date]])</f>
        <v>2024</v>
      </c>
      <c r="L178" s="6">
        <f>Table1[[#This Row],[Revenue]]/Table1[[#This Row],[Target]]</f>
        <v>1.0547722113932274</v>
      </c>
      <c r="M178" s="3" t="str">
        <f>IF(Table1[[#This Row],[Achieved %]]&gt;1,"▲","▼")</f>
        <v>▲</v>
      </c>
    </row>
    <row r="179" spans="1:13" x14ac:dyDescent="0.25">
      <c r="A179" s="5">
        <v>45469</v>
      </c>
      <c r="B179" s="3" t="s">
        <v>16</v>
      </c>
      <c r="C179" s="3" t="s">
        <v>20</v>
      </c>
      <c r="D179" s="3" t="s">
        <v>14</v>
      </c>
      <c r="E179" s="3" t="str">
        <f>VLOOKUP(Table1[[#This Row],[Product]],Master!A:C,2,FALSE)</f>
        <v>Office</v>
      </c>
      <c r="F179" s="3">
        <f>VLOOKUP(Table1[[#This Row],[Product]],Master!A:C,3,FALSE)</f>
        <v>15000</v>
      </c>
      <c r="G179" s="3">
        <v>7</v>
      </c>
      <c r="H179" s="3">
        <v>105000</v>
      </c>
      <c r="I179" s="3">
        <v>124228</v>
      </c>
      <c r="J179" s="3" t="str">
        <f>TEXT(Table1[[#This Row],[Date]],"mmm")</f>
        <v>Jun</v>
      </c>
      <c r="K179" s="3">
        <f>YEAR(Table1[[#This Row],[Date]])</f>
        <v>2024</v>
      </c>
      <c r="L179" s="6">
        <f>Table1[[#This Row],[Revenue]]/Table1[[#This Row],[Target]]</f>
        <v>0.84522007920919595</v>
      </c>
      <c r="M179" s="3" t="str">
        <f>IF(Table1[[#This Row],[Achieved %]]&gt;1,"▲","▼")</f>
        <v>▼</v>
      </c>
    </row>
    <row r="180" spans="1:13" x14ac:dyDescent="0.25">
      <c r="A180" s="5">
        <v>45470</v>
      </c>
      <c r="B180" s="3" t="s">
        <v>8</v>
      </c>
      <c r="C180" s="3" t="s">
        <v>13</v>
      </c>
      <c r="D180" s="3" t="s">
        <v>17</v>
      </c>
      <c r="E180" s="3" t="str">
        <f>VLOOKUP(Table1[[#This Row],[Product]],Master!A:C,2,FALSE)</f>
        <v>Electronics</v>
      </c>
      <c r="F180" s="3">
        <f>VLOOKUP(Table1[[#This Row],[Product]],Master!A:C,3,FALSE)</f>
        <v>20000</v>
      </c>
      <c r="G180" s="3">
        <v>9</v>
      </c>
      <c r="H180" s="3">
        <v>180000</v>
      </c>
      <c r="I180" s="3">
        <v>169425</v>
      </c>
      <c r="J180" s="3" t="str">
        <f>TEXT(Table1[[#This Row],[Date]],"mmm")</f>
        <v>Jun</v>
      </c>
      <c r="K180" s="3">
        <f>YEAR(Table1[[#This Row],[Date]])</f>
        <v>2024</v>
      </c>
      <c r="L180" s="6">
        <f>Table1[[#This Row],[Revenue]]/Table1[[#This Row],[Target]]</f>
        <v>1.0624169986719787</v>
      </c>
      <c r="M180" s="3" t="str">
        <f>IF(Table1[[#This Row],[Achieved %]]&gt;1,"▲","▼")</f>
        <v>▲</v>
      </c>
    </row>
    <row r="181" spans="1:13" x14ac:dyDescent="0.25">
      <c r="A181" s="5">
        <v>45471</v>
      </c>
      <c r="B181" s="3" t="s">
        <v>8</v>
      </c>
      <c r="C181" s="3" t="s">
        <v>22</v>
      </c>
      <c r="D181" s="3" t="s">
        <v>14</v>
      </c>
      <c r="E181" s="3" t="str">
        <f>VLOOKUP(Table1[[#This Row],[Product]],Master!A:C,2,FALSE)</f>
        <v>Office</v>
      </c>
      <c r="F181" s="3">
        <f>VLOOKUP(Table1[[#This Row],[Product]],Master!A:C,3,FALSE)</f>
        <v>15000</v>
      </c>
      <c r="G181" s="3">
        <v>2</v>
      </c>
      <c r="H181" s="3">
        <v>30000</v>
      </c>
      <c r="I181" s="3">
        <v>42016</v>
      </c>
      <c r="J181" s="3" t="str">
        <f>TEXT(Table1[[#This Row],[Date]],"mmm")</f>
        <v>Jun</v>
      </c>
      <c r="K181" s="3">
        <f>YEAR(Table1[[#This Row],[Date]])</f>
        <v>2024</v>
      </c>
      <c r="L181" s="6">
        <f>Table1[[#This Row],[Revenue]]/Table1[[#This Row],[Target]]</f>
        <v>0.71401370906321404</v>
      </c>
      <c r="M181" s="3" t="str">
        <f>IF(Table1[[#This Row],[Achieved %]]&gt;1,"▲","▼")</f>
        <v>▼</v>
      </c>
    </row>
    <row r="182" spans="1:13" x14ac:dyDescent="0.25">
      <c r="A182" s="5">
        <v>45472</v>
      </c>
      <c r="B182" s="3" t="s">
        <v>8</v>
      </c>
      <c r="C182" s="3" t="s">
        <v>20</v>
      </c>
      <c r="D182" s="3" t="s">
        <v>17</v>
      </c>
      <c r="E182" s="3" t="str">
        <f>VLOOKUP(Table1[[#This Row],[Product]],Master!A:C,2,FALSE)</f>
        <v>Electronics</v>
      </c>
      <c r="F182" s="3">
        <f>VLOOKUP(Table1[[#This Row],[Product]],Master!A:C,3,FALSE)</f>
        <v>20000</v>
      </c>
      <c r="G182" s="3">
        <v>8</v>
      </c>
      <c r="H182" s="3">
        <v>160000</v>
      </c>
      <c r="I182" s="3">
        <v>174176</v>
      </c>
      <c r="J182" s="3" t="str">
        <f>TEXT(Table1[[#This Row],[Date]],"mmm")</f>
        <v>Jun</v>
      </c>
      <c r="K182" s="3">
        <f>YEAR(Table1[[#This Row],[Date]])</f>
        <v>2024</v>
      </c>
      <c r="L182" s="6">
        <f>Table1[[#This Row],[Revenue]]/Table1[[#This Row],[Target]]</f>
        <v>0.91861106007716331</v>
      </c>
      <c r="M182" s="3" t="str">
        <f>IF(Table1[[#This Row],[Achieved %]]&gt;1,"▲","▼")</f>
        <v>▼</v>
      </c>
    </row>
    <row r="183" spans="1:13" x14ac:dyDescent="0.25">
      <c r="A183" s="5">
        <v>45473</v>
      </c>
      <c r="B183" s="3" t="s">
        <v>16</v>
      </c>
      <c r="C183" s="3" t="s">
        <v>9</v>
      </c>
      <c r="D183" s="3" t="s">
        <v>17</v>
      </c>
      <c r="E183" s="3" t="str">
        <f>VLOOKUP(Table1[[#This Row],[Product]],Master!A:C,2,FALSE)</f>
        <v>Electronics</v>
      </c>
      <c r="F183" s="3">
        <f>VLOOKUP(Table1[[#This Row],[Product]],Master!A:C,3,FALSE)</f>
        <v>20000</v>
      </c>
      <c r="G183" s="3">
        <v>7</v>
      </c>
      <c r="H183" s="3">
        <v>140000</v>
      </c>
      <c r="I183" s="3">
        <v>145701</v>
      </c>
      <c r="J183" s="3" t="str">
        <f>TEXT(Table1[[#This Row],[Date]],"mmm")</f>
        <v>Jun</v>
      </c>
      <c r="K183" s="3">
        <f>YEAR(Table1[[#This Row],[Date]])</f>
        <v>2024</v>
      </c>
      <c r="L183" s="6">
        <f>Table1[[#This Row],[Revenue]]/Table1[[#This Row],[Target]]</f>
        <v>0.96087192263608345</v>
      </c>
      <c r="M183" s="3" t="str">
        <f>IF(Table1[[#This Row],[Achieved %]]&gt;1,"▲","▼")</f>
        <v>▼</v>
      </c>
    </row>
    <row r="184" spans="1:13" x14ac:dyDescent="0.25">
      <c r="A184" s="5">
        <v>45474</v>
      </c>
      <c r="B184" s="3" t="s">
        <v>12</v>
      </c>
      <c r="C184" s="3" t="s">
        <v>19</v>
      </c>
      <c r="D184" s="3" t="s">
        <v>10</v>
      </c>
      <c r="E184" s="3" t="str">
        <f>VLOOKUP(Table1[[#This Row],[Product]],Master!A:C,2,FALSE)</f>
        <v>Electronics</v>
      </c>
      <c r="F184" s="3">
        <f>VLOOKUP(Table1[[#This Row],[Product]],Master!A:C,3,FALSE)</f>
        <v>50000</v>
      </c>
      <c r="G184" s="3">
        <v>1</v>
      </c>
      <c r="H184" s="3">
        <v>50000</v>
      </c>
      <c r="I184" s="3">
        <v>65883</v>
      </c>
      <c r="J184" s="3" t="str">
        <f>TEXT(Table1[[#This Row],[Date]],"mmm")</f>
        <v>Jul</v>
      </c>
      <c r="K184" s="3">
        <f>YEAR(Table1[[#This Row],[Date]])</f>
        <v>2024</v>
      </c>
      <c r="L184" s="6">
        <f>Table1[[#This Row],[Revenue]]/Table1[[#This Row],[Target]]</f>
        <v>0.75892111773902216</v>
      </c>
      <c r="M184" s="3" t="str">
        <f>IF(Table1[[#This Row],[Achieved %]]&gt;1,"▲","▼")</f>
        <v>▼</v>
      </c>
    </row>
    <row r="185" spans="1:13" x14ac:dyDescent="0.25">
      <c r="A185" s="5">
        <v>45475</v>
      </c>
      <c r="B185" s="3" t="s">
        <v>8</v>
      </c>
      <c r="C185" s="3" t="s">
        <v>20</v>
      </c>
      <c r="D185" s="3" t="s">
        <v>14</v>
      </c>
      <c r="E185" s="3" t="str">
        <f>VLOOKUP(Table1[[#This Row],[Product]],Master!A:C,2,FALSE)</f>
        <v>Office</v>
      </c>
      <c r="F185" s="3">
        <f>VLOOKUP(Table1[[#This Row],[Product]],Master!A:C,3,FALSE)</f>
        <v>15000</v>
      </c>
      <c r="G185" s="3">
        <v>7</v>
      </c>
      <c r="H185" s="3">
        <v>105000</v>
      </c>
      <c r="I185" s="3">
        <v>100265</v>
      </c>
      <c r="J185" s="3" t="str">
        <f>TEXT(Table1[[#This Row],[Date]],"mmm")</f>
        <v>Jul</v>
      </c>
      <c r="K185" s="3">
        <f>YEAR(Table1[[#This Row],[Date]])</f>
        <v>2024</v>
      </c>
      <c r="L185" s="6">
        <f>Table1[[#This Row],[Revenue]]/Table1[[#This Row],[Target]]</f>
        <v>1.0472248541365381</v>
      </c>
      <c r="M185" s="3" t="str">
        <f>IF(Table1[[#This Row],[Achieved %]]&gt;1,"▲","▼")</f>
        <v>▲</v>
      </c>
    </row>
    <row r="186" spans="1:13" x14ac:dyDescent="0.25">
      <c r="A186" s="5">
        <v>45476</v>
      </c>
      <c r="B186" s="3" t="s">
        <v>18</v>
      </c>
      <c r="C186" s="3" t="s">
        <v>22</v>
      </c>
      <c r="D186" s="3" t="s">
        <v>10</v>
      </c>
      <c r="E186" s="3" t="str">
        <f>VLOOKUP(Table1[[#This Row],[Product]],Master!A:C,2,FALSE)</f>
        <v>Electronics</v>
      </c>
      <c r="F186" s="3">
        <f>VLOOKUP(Table1[[#This Row],[Product]],Master!A:C,3,FALSE)</f>
        <v>50000</v>
      </c>
      <c r="G186" s="3">
        <v>8</v>
      </c>
      <c r="H186" s="3">
        <v>400000</v>
      </c>
      <c r="I186" s="3">
        <v>399126</v>
      </c>
      <c r="J186" s="3" t="str">
        <f>TEXT(Table1[[#This Row],[Date]],"mmm")</f>
        <v>Jul</v>
      </c>
      <c r="K186" s="3">
        <f>YEAR(Table1[[#This Row],[Date]])</f>
        <v>2024</v>
      </c>
      <c r="L186" s="6">
        <f>Table1[[#This Row],[Revenue]]/Table1[[#This Row],[Target]]</f>
        <v>1.0021897846795247</v>
      </c>
      <c r="M186" s="3" t="str">
        <f>IF(Table1[[#This Row],[Achieved %]]&gt;1,"▲","▼")</f>
        <v>▲</v>
      </c>
    </row>
    <row r="187" spans="1:13" x14ac:dyDescent="0.25">
      <c r="A187" s="5">
        <v>45477</v>
      </c>
      <c r="B187" s="3" t="s">
        <v>12</v>
      </c>
      <c r="C187" s="3" t="s">
        <v>13</v>
      </c>
      <c r="D187" s="3" t="s">
        <v>21</v>
      </c>
      <c r="E187" s="3" t="str">
        <f>VLOOKUP(Table1[[#This Row],[Product]],Master!A:C,2,FALSE)</f>
        <v>Electronics</v>
      </c>
      <c r="F187" s="3">
        <f>VLOOKUP(Table1[[#This Row],[Product]],Master!A:C,3,FALSE)</f>
        <v>30000</v>
      </c>
      <c r="G187" s="3">
        <v>8</v>
      </c>
      <c r="H187" s="3">
        <v>240000</v>
      </c>
      <c r="I187" s="3">
        <v>225630</v>
      </c>
      <c r="J187" s="3" t="str">
        <f>TEXT(Table1[[#This Row],[Date]],"mmm")</f>
        <v>Jul</v>
      </c>
      <c r="K187" s="3">
        <f>YEAR(Table1[[#This Row],[Date]])</f>
        <v>2024</v>
      </c>
      <c r="L187" s="6">
        <f>Table1[[#This Row],[Revenue]]/Table1[[#This Row],[Target]]</f>
        <v>1.0636883393165801</v>
      </c>
      <c r="M187" s="3" t="str">
        <f>IF(Table1[[#This Row],[Achieved %]]&gt;1,"▲","▼")</f>
        <v>▲</v>
      </c>
    </row>
    <row r="188" spans="1:13" x14ac:dyDescent="0.25">
      <c r="A188" s="5">
        <v>45478</v>
      </c>
      <c r="B188" s="3" t="s">
        <v>12</v>
      </c>
      <c r="C188" s="3" t="s">
        <v>22</v>
      </c>
      <c r="D188" s="3" t="s">
        <v>21</v>
      </c>
      <c r="E188" s="3" t="str">
        <f>VLOOKUP(Table1[[#This Row],[Product]],Master!A:C,2,FALSE)</f>
        <v>Electronics</v>
      </c>
      <c r="F188" s="3">
        <f>VLOOKUP(Table1[[#This Row],[Product]],Master!A:C,3,FALSE)</f>
        <v>30000</v>
      </c>
      <c r="G188" s="3">
        <v>6</v>
      </c>
      <c r="H188" s="3">
        <v>180000</v>
      </c>
      <c r="I188" s="3">
        <v>196134</v>
      </c>
      <c r="J188" s="3" t="str">
        <f>TEXT(Table1[[#This Row],[Date]],"mmm")</f>
        <v>Jul</v>
      </c>
      <c r="K188" s="3">
        <f>YEAR(Table1[[#This Row],[Date]])</f>
        <v>2024</v>
      </c>
      <c r="L188" s="6">
        <f>Table1[[#This Row],[Revenue]]/Table1[[#This Row],[Target]]</f>
        <v>0.91773991250879505</v>
      </c>
      <c r="M188" s="3" t="str">
        <f>IF(Table1[[#This Row],[Achieved %]]&gt;1,"▲","▼")</f>
        <v>▼</v>
      </c>
    </row>
    <row r="189" spans="1:13" x14ac:dyDescent="0.25">
      <c r="A189" s="5">
        <v>45479</v>
      </c>
      <c r="B189" s="3" t="s">
        <v>18</v>
      </c>
      <c r="C189" s="3" t="s">
        <v>19</v>
      </c>
      <c r="D189" s="3" t="s">
        <v>17</v>
      </c>
      <c r="E189" s="3" t="str">
        <f>VLOOKUP(Table1[[#This Row],[Product]],Master!A:C,2,FALSE)</f>
        <v>Electronics</v>
      </c>
      <c r="F189" s="3">
        <f>VLOOKUP(Table1[[#This Row],[Product]],Master!A:C,3,FALSE)</f>
        <v>20000</v>
      </c>
      <c r="G189" s="3">
        <v>6</v>
      </c>
      <c r="H189" s="3">
        <v>120000</v>
      </c>
      <c r="I189" s="3">
        <v>133339</v>
      </c>
      <c r="J189" s="3" t="str">
        <f>TEXT(Table1[[#This Row],[Date]],"mmm")</f>
        <v>Jul</v>
      </c>
      <c r="K189" s="3">
        <f>YEAR(Table1[[#This Row],[Date]])</f>
        <v>2024</v>
      </c>
      <c r="L189" s="6">
        <f>Table1[[#This Row],[Revenue]]/Table1[[#This Row],[Target]]</f>
        <v>0.89996175162555592</v>
      </c>
      <c r="M189" s="3" t="str">
        <f>IF(Table1[[#This Row],[Achieved %]]&gt;1,"▲","▼")</f>
        <v>▼</v>
      </c>
    </row>
    <row r="190" spans="1:13" x14ac:dyDescent="0.25">
      <c r="A190" s="5">
        <v>45480</v>
      </c>
      <c r="B190" s="3" t="s">
        <v>18</v>
      </c>
      <c r="C190" s="3" t="s">
        <v>20</v>
      </c>
      <c r="D190" s="3" t="s">
        <v>10</v>
      </c>
      <c r="E190" s="3" t="str">
        <f>VLOOKUP(Table1[[#This Row],[Product]],Master!A:C,2,FALSE)</f>
        <v>Electronics</v>
      </c>
      <c r="F190" s="3">
        <f>VLOOKUP(Table1[[#This Row],[Product]],Master!A:C,3,FALSE)</f>
        <v>50000</v>
      </c>
      <c r="G190" s="3">
        <v>2</v>
      </c>
      <c r="H190" s="3">
        <v>100000</v>
      </c>
      <c r="I190" s="3">
        <v>118607</v>
      </c>
      <c r="J190" s="3" t="str">
        <f>TEXT(Table1[[#This Row],[Date]],"mmm")</f>
        <v>Jul</v>
      </c>
      <c r="K190" s="3">
        <f>YEAR(Table1[[#This Row],[Date]])</f>
        <v>2024</v>
      </c>
      <c r="L190" s="6">
        <f>Table1[[#This Row],[Revenue]]/Table1[[#This Row],[Target]]</f>
        <v>0.8431205578085611</v>
      </c>
      <c r="M190" s="3" t="str">
        <f>IF(Table1[[#This Row],[Achieved %]]&gt;1,"▲","▼")</f>
        <v>▼</v>
      </c>
    </row>
    <row r="191" spans="1:13" x14ac:dyDescent="0.25">
      <c r="A191" s="5">
        <v>45481</v>
      </c>
      <c r="B191" s="3" t="s">
        <v>12</v>
      </c>
      <c r="C191" s="3" t="s">
        <v>20</v>
      </c>
      <c r="D191" s="3" t="s">
        <v>17</v>
      </c>
      <c r="E191" s="3" t="str">
        <f>VLOOKUP(Table1[[#This Row],[Product]],Master!A:C,2,FALSE)</f>
        <v>Electronics</v>
      </c>
      <c r="F191" s="3">
        <f>VLOOKUP(Table1[[#This Row],[Product]],Master!A:C,3,FALSE)</f>
        <v>20000</v>
      </c>
      <c r="G191" s="3">
        <v>8</v>
      </c>
      <c r="H191" s="3">
        <v>160000</v>
      </c>
      <c r="I191" s="3">
        <v>159480</v>
      </c>
      <c r="J191" s="3" t="str">
        <f>TEXT(Table1[[#This Row],[Date]],"mmm")</f>
        <v>Jul</v>
      </c>
      <c r="K191" s="3">
        <f>YEAR(Table1[[#This Row],[Date]])</f>
        <v>2024</v>
      </c>
      <c r="L191" s="6">
        <f>Table1[[#This Row],[Revenue]]/Table1[[#This Row],[Target]]</f>
        <v>1.0032605969400552</v>
      </c>
      <c r="M191" s="3" t="str">
        <f>IF(Table1[[#This Row],[Achieved %]]&gt;1,"▲","▼")</f>
        <v>▲</v>
      </c>
    </row>
    <row r="192" spans="1:13" x14ac:dyDescent="0.25">
      <c r="A192" s="5">
        <v>45482</v>
      </c>
      <c r="B192" s="3" t="s">
        <v>8</v>
      </c>
      <c r="C192" s="3" t="s">
        <v>22</v>
      </c>
      <c r="D192" s="3" t="s">
        <v>14</v>
      </c>
      <c r="E192" s="3" t="str">
        <f>VLOOKUP(Table1[[#This Row],[Product]],Master!A:C,2,FALSE)</f>
        <v>Office</v>
      </c>
      <c r="F192" s="3">
        <f>VLOOKUP(Table1[[#This Row],[Product]],Master!A:C,3,FALSE)</f>
        <v>15000</v>
      </c>
      <c r="G192" s="3">
        <v>4</v>
      </c>
      <c r="H192" s="3">
        <v>60000</v>
      </c>
      <c r="I192" s="3">
        <v>60045</v>
      </c>
      <c r="J192" s="3" t="str">
        <f>TEXT(Table1[[#This Row],[Date]],"mmm")</f>
        <v>Jul</v>
      </c>
      <c r="K192" s="3">
        <f>YEAR(Table1[[#This Row],[Date]])</f>
        <v>2024</v>
      </c>
      <c r="L192" s="6">
        <f>Table1[[#This Row],[Revenue]]/Table1[[#This Row],[Target]]</f>
        <v>0.99925056207844121</v>
      </c>
      <c r="M192" s="3" t="str">
        <f>IF(Table1[[#This Row],[Achieved %]]&gt;1,"▲","▼")</f>
        <v>▼</v>
      </c>
    </row>
    <row r="193" spans="1:13" x14ac:dyDescent="0.25">
      <c r="A193" s="5">
        <v>45483</v>
      </c>
      <c r="B193" s="3" t="s">
        <v>16</v>
      </c>
      <c r="C193" s="3" t="s">
        <v>22</v>
      </c>
      <c r="D193" s="3" t="s">
        <v>17</v>
      </c>
      <c r="E193" s="3" t="str">
        <f>VLOOKUP(Table1[[#This Row],[Product]],Master!A:C,2,FALSE)</f>
        <v>Electronics</v>
      </c>
      <c r="F193" s="3">
        <f>VLOOKUP(Table1[[#This Row],[Product]],Master!A:C,3,FALSE)</f>
        <v>20000</v>
      </c>
      <c r="G193" s="3">
        <v>7</v>
      </c>
      <c r="H193" s="3">
        <v>140000</v>
      </c>
      <c r="I193" s="3">
        <v>150306</v>
      </c>
      <c r="J193" s="3" t="str">
        <f>TEXT(Table1[[#This Row],[Date]],"mmm")</f>
        <v>Jul</v>
      </c>
      <c r="K193" s="3">
        <f>YEAR(Table1[[#This Row],[Date]])</f>
        <v>2024</v>
      </c>
      <c r="L193" s="6">
        <f>Table1[[#This Row],[Revenue]]/Table1[[#This Row],[Target]]</f>
        <v>0.93143320958577835</v>
      </c>
      <c r="M193" s="3" t="str">
        <f>IF(Table1[[#This Row],[Achieved %]]&gt;1,"▲","▼")</f>
        <v>▼</v>
      </c>
    </row>
    <row r="194" spans="1:13" x14ac:dyDescent="0.25">
      <c r="A194" s="5">
        <v>45484</v>
      </c>
      <c r="B194" s="3" t="s">
        <v>16</v>
      </c>
      <c r="C194" s="3" t="s">
        <v>22</v>
      </c>
      <c r="D194" s="3" t="s">
        <v>21</v>
      </c>
      <c r="E194" s="3" t="str">
        <f>VLOOKUP(Table1[[#This Row],[Product]],Master!A:C,2,FALSE)</f>
        <v>Electronics</v>
      </c>
      <c r="F194" s="3">
        <f>VLOOKUP(Table1[[#This Row],[Product]],Master!A:C,3,FALSE)</f>
        <v>30000</v>
      </c>
      <c r="G194" s="3">
        <v>2</v>
      </c>
      <c r="H194" s="3">
        <v>60000</v>
      </c>
      <c r="I194" s="3">
        <v>69285</v>
      </c>
      <c r="J194" s="3" t="str">
        <f>TEXT(Table1[[#This Row],[Date]],"mmm")</f>
        <v>Jul</v>
      </c>
      <c r="K194" s="3">
        <f>YEAR(Table1[[#This Row],[Date]])</f>
        <v>2024</v>
      </c>
      <c r="L194" s="6">
        <f>Table1[[#This Row],[Revenue]]/Table1[[#This Row],[Target]]</f>
        <v>0.86598830915782632</v>
      </c>
      <c r="M194" s="3" t="str">
        <f>IF(Table1[[#This Row],[Achieved %]]&gt;1,"▲","▼")</f>
        <v>▼</v>
      </c>
    </row>
    <row r="195" spans="1:13" x14ac:dyDescent="0.25">
      <c r="A195" s="5">
        <v>45485</v>
      </c>
      <c r="B195" s="3" t="s">
        <v>18</v>
      </c>
      <c r="C195" s="3" t="s">
        <v>20</v>
      </c>
      <c r="D195" s="3" t="s">
        <v>17</v>
      </c>
      <c r="E195" s="3" t="str">
        <f>VLOOKUP(Table1[[#This Row],[Product]],Master!A:C,2,FALSE)</f>
        <v>Electronics</v>
      </c>
      <c r="F195" s="3">
        <f>VLOOKUP(Table1[[#This Row],[Product]],Master!A:C,3,FALSE)</f>
        <v>20000</v>
      </c>
      <c r="G195" s="3">
        <v>8</v>
      </c>
      <c r="H195" s="3">
        <v>160000</v>
      </c>
      <c r="I195" s="3">
        <v>155972</v>
      </c>
      <c r="J195" s="3" t="str">
        <f>TEXT(Table1[[#This Row],[Date]],"mmm")</f>
        <v>Jul</v>
      </c>
      <c r="K195" s="3">
        <f>YEAR(Table1[[#This Row],[Date]])</f>
        <v>2024</v>
      </c>
      <c r="L195" s="6">
        <f>Table1[[#This Row],[Revenue]]/Table1[[#This Row],[Target]]</f>
        <v>1.0258251481035057</v>
      </c>
      <c r="M195" s="3" t="str">
        <f>IF(Table1[[#This Row],[Achieved %]]&gt;1,"▲","▼")</f>
        <v>▲</v>
      </c>
    </row>
    <row r="196" spans="1:13" x14ac:dyDescent="0.25">
      <c r="A196" s="5">
        <v>45486</v>
      </c>
      <c r="B196" s="3" t="s">
        <v>12</v>
      </c>
      <c r="C196" s="3" t="s">
        <v>19</v>
      </c>
      <c r="D196" s="3" t="s">
        <v>14</v>
      </c>
      <c r="E196" s="3" t="str">
        <f>VLOOKUP(Table1[[#This Row],[Product]],Master!A:C,2,FALSE)</f>
        <v>Office</v>
      </c>
      <c r="F196" s="3">
        <f>VLOOKUP(Table1[[#This Row],[Product]],Master!A:C,3,FALSE)</f>
        <v>15000</v>
      </c>
      <c r="G196" s="3">
        <v>3</v>
      </c>
      <c r="H196" s="3">
        <v>45000</v>
      </c>
      <c r="I196" s="3">
        <v>31241</v>
      </c>
      <c r="J196" s="3" t="str">
        <f>TEXT(Table1[[#This Row],[Date]],"mmm")</f>
        <v>Jul</v>
      </c>
      <c r="K196" s="3">
        <f>YEAR(Table1[[#This Row],[Date]])</f>
        <v>2024</v>
      </c>
      <c r="L196" s="6">
        <f>Table1[[#This Row],[Revenue]]/Table1[[#This Row],[Target]]</f>
        <v>1.4404148394737684</v>
      </c>
      <c r="M196" s="3" t="str">
        <f>IF(Table1[[#This Row],[Achieved %]]&gt;1,"▲","▼")</f>
        <v>▲</v>
      </c>
    </row>
    <row r="197" spans="1:13" x14ac:dyDescent="0.25">
      <c r="A197" s="5">
        <v>45487</v>
      </c>
      <c r="B197" s="3" t="s">
        <v>8</v>
      </c>
      <c r="C197" s="3" t="s">
        <v>9</v>
      </c>
      <c r="D197" s="3" t="s">
        <v>10</v>
      </c>
      <c r="E197" s="3" t="str">
        <f>VLOOKUP(Table1[[#This Row],[Product]],Master!A:C,2,FALSE)</f>
        <v>Electronics</v>
      </c>
      <c r="F197" s="3">
        <f>VLOOKUP(Table1[[#This Row],[Product]],Master!A:C,3,FALSE)</f>
        <v>50000</v>
      </c>
      <c r="G197" s="3">
        <v>2</v>
      </c>
      <c r="H197" s="3">
        <v>100000</v>
      </c>
      <c r="I197" s="3">
        <v>117985</v>
      </c>
      <c r="J197" s="3" t="str">
        <f>TEXT(Table1[[#This Row],[Date]],"mmm")</f>
        <v>Jul</v>
      </c>
      <c r="K197" s="3">
        <f>YEAR(Table1[[#This Row],[Date]])</f>
        <v>2024</v>
      </c>
      <c r="L197" s="6">
        <f>Table1[[#This Row],[Revenue]]/Table1[[#This Row],[Target]]</f>
        <v>0.84756536847904396</v>
      </c>
      <c r="M197" s="3" t="str">
        <f>IF(Table1[[#This Row],[Achieved %]]&gt;1,"▲","▼")</f>
        <v>▼</v>
      </c>
    </row>
    <row r="198" spans="1:13" x14ac:dyDescent="0.25">
      <c r="A198" s="5">
        <v>45488</v>
      </c>
      <c r="B198" s="3" t="s">
        <v>18</v>
      </c>
      <c r="C198" s="3" t="s">
        <v>20</v>
      </c>
      <c r="D198" s="3" t="s">
        <v>10</v>
      </c>
      <c r="E198" s="3" t="str">
        <f>VLOOKUP(Table1[[#This Row],[Product]],Master!A:C,2,FALSE)</f>
        <v>Electronics</v>
      </c>
      <c r="F198" s="3">
        <f>VLOOKUP(Table1[[#This Row],[Product]],Master!A:C,3,FALSE)</f>
        <v>50000</v>
      </c>
      <c r="G198" s="3">
        <v>7</v>
      </c>
      <c r="H198" s="3">
        <v>350000</v>
      </c>
      <c r="I198" s="3">
        <v>366915</v>
      </c>
      <c r="J198" s="3" t="str">
        <f>TEXT(Table1[[#This Row],[Date]],"mmm")</f>
        <v>Jul</v>
      </c>
      <c r="K198" s="3">
        <f>YEAR(Table1[[#This Row],[Date]])</f>
        <v>2024</v>
      </c>
      <c r="L198" s="6">
        <f>Table1[[#This Row],[Revenue]]/Table1[[#This Row],[Target]]</f>
        <v>0.95389940449422894</v>
      </c>
      <c r="M198" s="3" t="str">
        <f>IF(Table1[[#This Row],[Achieved %]]&gt;1,"▲","▼")</f>
        <v>▼</v>
      </c>
    </row>
    <row r="199" spans="1:13" x14ac:dyDescent="0.25">
      <c r="A199" s="5">
        <v>45489</v>
      </c>
      <c r="B199" s="3" t="s">
        <v>16</v>
      </c>
      <c r="C199" s="3" t="s">
        <v>19</v>
      </c>
      <c r="D199" s="3" t="s">
        <v>14</v>
      </c>
      <c r="E199" s="3" t="str">
        <f>VLOOKUP(Table1[[#This Row],[Product]],Master!A:C,2,FALSE)</f>
        <v>Office</v>
      </c>
      <c r="F199" s="3">
        <f>VLOOKUP(Table1[[#This Row],[Product]],Master!A:C,3,FALSE)</f>
        <v>15000</v>
      </c>
      <c r="G199" s="3">
        <v>3</v>
      </c>
      <c r="H199" s="3">
        <v>45000</v>
      </c>
      <c r="I199" s="3">
        <v>25645</v>
      </c>
      <c r="J199" s="3" t="str">
        <f>TEXT(Table1[[#This Row],[Date]],"mmm")</f>
        <v>Jul</v>
      </c>
      <c r="K199" s="3">
        <f>YEAR(Table1[[#This Row],[Date]])</f>
        <v>2024</v>
      </c>
      <c r="L199" s="6">
        <f>Table1[[#This Row],[Revenue]]/Table1[[#This Row],[Target]]</f>
        <v>1.7547280171573405</v>
      </c>
      <c r="M199" s="3" t="str">
        <f>IF(Table1[[#This Row],[Achieved %]]&gt;1,"▲","▼")</f>
        <v>▲</v>
      </c>
    </row>
    <row r="200" spans="1:13" x14ac:dyDescent="0.25">
      <c r="A200" s="5">
        <v>45490</v>
      </c>
      <c r="B200" s="3" t="s">
        <v>8</v>
      </c>
      <c r="C200" s="3" t="s">
        <v>9</v>
      </c>
      <c r="D200" s="3" t="s">
        <v>10</v>
      </c>
      <c r="E200" s="3" t="str">
        <f>VLOOKUP(Table1[[#This Row],[Product]],Master!A:C,2,FALSE)</f>
        <v>Electronics</v>
      </c>
      <c r="F200" s="3">
        <f>VLOOKUP(Table1[[#This Row],[Product]],Master!A:C,3,FALSE)</f>
        <v>50000</v>
      </c>
      <c r="G200" s="3">
        <v>8</v>
      </c>
      <c r="H200" s="3">
        <v>400000</v>
      </c>
      <c r="I200" s="3">
        <v>402791</v>
      </c>
      <c r="J200" s="3" t="str">
        <f>TEXT(Table1[[#This Row],[Date]],"mmm")</f>
        <v>Jul</v>
      </c>
      <c r="K200" s="3">
        <f>YEAR(Table1[[#This Row],[Date]])</f>
        <v>2024</v>
      </c>
      <c r="L200" s="6">
        <f>Table1[[#This Row],[Revenue]]/Table1[[#This Row],[Target]]</f>
        <v>0.99307084815698465</v>
      </c>
      <c r="M200" s="3" t="str">
        <f>IF(Table1[[#This Row],[Achieved %]]&gt;1,"▲","▼")</f>
        <v>▼</v>
      </c>
    </row>
    <row r="201" spans="1:13" x14ac:dyDescent="0.25">
      <c r="A201" s="5">
        <v>45491</v>
      </c>
      <c r="B201" s="3" t="s">
        <v>8</v>
      </c>
      <c r="C201" s="3" t="s">
        <v>19</v>
      </c>
      <c r="D201" s="3" t="s">
        <v>14</v>
      </c>
      <c r="E201" s="3" t="str">
        <f>VLOOKUP(Table1[[#This Row],[Product]],Master!A:C,2,FALSE)</f>
        <v>Office</v>
      </c>
      <c r="F201" s="3">
        <f>VLOOKUP(Table1[[#This Row],[Product]],Master!A:C,3,FALSE)</f>
        <v>15000</v>
      </c>
      <c r="G201" s="3">
        <v>8</v>
      </c>
      <c r="H201" s="3">
        <v>120000</v>
      </c>
      <c r="I201" s="3">
        <v>133393</v>
      </c>
      <c r="J201" s="3" t="str">
        <f>TEXT(Table1[[#This Row],[Date]],"mmm")</f>
        <v>Jul</v>
      </c>
      <c r="K201" s="3">
        <f>YEAR(Table1[[#This Row],[Date]])</f>
        <v>2024</v>
      </c>
      <c r="L201" s="6">
        <f>Table1[[#This Row],[Revenue]]/Table1[[#This Row],[Target]]</f>
        <v>0.89959743015000793</v>
      </c>
      <c r="M201" s="3" t="str">
        <f>IF(Table1[[#This Row],[Achieved %]]&gt;1,"▲","▼")</f>
        <v>▼</v>
      </c>
    </row>
    <row r="202" spans="1:13" x14ac:dyDescent="0.25">
      <c r="A202" s="5">
        <v>45492</v>
      </c>
      <c r="B202" s="3" t="s">
        <v>18</v>
      </c>
      <c r="C202" s="3" t="s">
        <v>13</v>
      </c>
      <c r="D202" s="3" t="s">
        <v>17</v>
      </c>
      <c r="E202" s="3" t="str">
        <f>VLOOKUP(Table1[[#This Row],[Product]],Master!A:C,2,FALSE)</f>
        <v>Electronics</v>
      </c>
      <c r="F202" s="3">
        <f>VLOOKUP(Table1[[#This Row],[Product]],Master!A:C,3,FALSE)</f>
        <v>20000</v>
      </c>
      <c r="G202" s="3">
        <v>8</v>
      </c>
      <c r="H202" s="3">
        <v>160000</v>
      </c>
      <c r="I202" s="3">
        <v>142555</v>
      </c>
      <c r="J202" s="3" t="str">
        <f>TEXT(Table1[[#This Row],[Date]],"mmm")</f>
        <v>Jul</v>
      </c>
      <c r="K202" s="3">
        <f>YEAR(Table1[[#This Row],[Date]])</f>
        <v>2024</v>
      </c>
      <c r="L202" s="6">
        <f>Table1[[#This Row],[Revenue]]/Table1[[#This Row],[Target]]</f>
        <v>1.1223738206306337</v>
      </c>
      <c r="M202" s="3" t="str">
        <f>IF(Table1[[#This Row],[Achieved %]]&gt;1,"▲","▼")</f>
        <v>▲</v>
      </c>
    </row>
    <row r="203" spans="1:13" x14ac:dyDescent="0.25">
      <c r="A203" s="5">
        <v>45493</v>
      </c>
      <c r="B203" s="3" t="s">
        <v>12</v>
      </c>
      <c r="C203" s="3" t="s">
        <v>9</v>
      </c>
      <c r="D203" s="3" t="s">
        <v>10</v>
      </c>
      <c r="E203" s="3" t="str">
        <f>VLOOKUP(Table1[[#This Row],[Product]],Master!A:C,2,FALSE)</f>
        <v>Electronics</v>
      </c>
      <c r="F203" s="3">
        <f>VLOOKUP(Table1[[#This Row],[Product]],Master!A:C,3,FALSE)</f>
        <v>50000</v>
      </c>
      <c r="G203" s="3">
        <v>6</v>
      </c>
      <c r="H203" s="3">
        <v>300000</v>
      </c>
      <c r="I203" s="3">
        <v>294707</v>
      </c>
      <c r="J203" s="3" t="str">
        <f>TEXT(Table1[[#This Row],[Date]],"mmm")</f>
        <v>Jul</v>
      </c>
      <c r="K203" s="3">
        <f>YEAR(Table1[[#This Row],[Date]])</f>
        <v>2024</v>
      </c>
      <c r="L203" s="6">
        <f>Table1[[#This Row],[Revenue]]/Table1[[#This Row],[Target]]</f>
        <v>1.01796021132854</v>
      </c>
      <c r="M203" s="3" t="str">
        <f>IF(Table1[[#This Row],[Achieved %]]&gt;1,"▲","▼")</f>
        <v>▲</v>
      </c>
    </row>
    <row r="204" spans="1:13" x14ac:dyDescent="0.25">
      <c r="A204" s="5">
        <v>45494</v>
      </c>
      <c r="B204" s="3" t="s">
        <v>12</v>
      </c>
      <c r="C204" s="3" t="s">
        <v>20</v>
      </c>
      <c r="D204" s="3" t="s">
        <v>17</v>
      </c>
      <c r="E204" s="3" t="str">
        <f>VLOOKUP(Table1[[#This Row],[Product]],Master!A:C,2,FALSE)</f>
        <v>Electronics</v>
      </c>
      <c r="F204" s="3">
        <f>VLOOKUP(Table1[[#This Row],[Product]],Master!A:C,3,FALSE)</f>
        <v>20000</v>
      </c>
      <c r="G204" s="3">
        <v>7</v>
      </c>
      <c r="H204" s="3">
        <v>140000</v>
      </c>
      <c r="I204" s="3">
        <v>133195</v>
      </c>
      <c r="J204" s="3" t="str">
        <f>TEXT(Table1[[#This Row],[Date]],"mmm")</f>
        <v>Jul</v>
      </c>
      <c r="K204" s="3">
        <f>YEAR(Table1[[#This Row],[Date]])</f>
        <v>2024</v>
      </c>
      <c r="L204" s="6">
        <f>Table1[[#This Row],[Revenue]]/Table1[[#This Row],[Target]]</f>
        <v>1.0510905064003904</v>
      </c>
      <c r="M204" s="3" t="str">
        <f>IF(Table1[[#This Row],[Achieved %]]&gt;1,"▲","▼")</f>
        <v>▲</v>
      </c>
    </row>
    <row r="205" spans="1:13" x14ac:dyDescent="0.25">
      <c r="A205" s="5">
        <v>45495</v>
      </c>
      <c r="B205" s="3" t="s">
        <v>8</v>
      </c>
      <c r="C205" s="3" t="s">
        <v>19</v>
      </c>
      <c r="D205" s="3" t="s">
        <v>17</v>
      </c>
      <c r="E205" s="3" t="str">
        <f>VLOOKUP(Table1[[#This Row],[Product]],Master!A:C,2,FALSE)</f>
        <v>Electronics</v>
      </c>
      <c r="F205" s="3">
        <f>VLOOKUP(Table1[[#This Row],[Product]],Master!A:C,3,FALSE)</f>
        <v>20000</v>
      </c>
      <c r="G205" s="3">
        <v>4</v>
      </c>
      <c r="H205" s="3">
        <v>80000</v>
      </c>
      <c r="I205" s="3">
        <v>92933</v>
      </c>
      <c r="J205" s="3" t="str">
        <f>TEXT(Table1[[#This Row],[Date]],"mmm")</f>
        <v>Jul</v>
      </c>
      <c r="K205" s="3">
        <f>YEAR(Table1[[#This Row],[Date]])</f>
        <v>2024</v>
      </c>
      <c r="L205" s="6">
        <f>Table1[[#This Row],[Revenue]]/Table1[[#This Row],[Target]]</f>
        <v>0.86083522537742241</v>
      </c>
      <c r="M205" s="3" t="str">
        <f>IF(Table1[[#This Row],[Achieved %]]&gt;1,"▲","▼")</f>
        <v>▼</v>
      </c>
    </row>
    <row r="206" spans="1:13" x14ac:dyDescent="0.25">
      <c r="A206" s="5">
        <v>45496</v>
      </c>
      <c r="B206" s="3" t="s">
        <v>8</v>
      </c>
      <c r="C206" s="3" t="s">
        <v>19</v>
      </c>
      <c r="D206" s="3" t="s">
        <v>17</v>
      </c>
      <c r="E206" s="3" t="str">
        <f>VLOOKUP(Table1[[#This Row],[Product]],Master!A:C,2,FALSE)</f>
        <v>Electronics</v>
      </c>
      <c r="F206" s="3">
        <f>VLOOKUP(Table1[[#This Row],[Product]],Master!A:C,3,FALSE)</f>
        <v>20000</v>
      </c>
      <c r="G206" s="3">
        <v>1</v>
      </c>
      <c r="H206" s="3">
        <v>20000</v>
      </c>
      <c r="I206" s="3">
        <v>7228</v>
      </c>
      <c r="J206" s="3" t="str">
        <f>TEXT(Table1[[#This Row],[Date]],"mmm")</f>
        <v>Jul</v>
      </c>
      <c r="K206" s="3">
        <f>YEAR(Table1[[#This Row],[Date]])</f>
        <v>2024</v>
      </c>
      <c r="L206" s="6">
        <f>Table1[[#This Row],[Revenue]]/Table1[[#This Row],[Target]]</f>
        <v>2.7670171555063643</v>
      </c>
      <c r="M206" s="3" t="str">
        <f>IF(Table1[[#This Row],[Achieved %]]&gt;1,"▲","▼")</f>
        <v>▲</v>
      </c>
    </row>
    <row r="207" spans="1:13" x14ac:dyDescent="0.25">
      <c r="A207" s="5">
        <v>45497</v>
      </c>
      <c r="B207" s="3" t="s">
        <v>18</v>
      </c>
      <c r="C207" s="3" t="s">
        <v>13</v>
      </c>
      <c r="D207" s="3" t="s">
        <v>17</v>
      </c>
      <c r="E207" s="3" t="str">
        <f>VLOOKUP(Table1[[#This Row],[Product]],Master!A:C,2,FALSE)</f>
        <v>Electronics</v>
      </c>
      <c r="F207" s="3">
        <f>VLOOKUP(Table1[[#This Row],[Product]],Master!A:C,3,FALSE)</f>
        <v>20000</v>
      </c>
      <c r="G207" s="3">
        <v>3</v>
      </c>
      <c r="H207" s="3">
        <v>60000</v>
      </c>
      <c r="I207" s="3">
        <v>51957</v>
      </c>
      <c r="J207" s="3" t="str">
        <f>TEXT(Table1[[#This Row],[Date]],"mmm")</f>
        <v>Jul</v>
      </c>
      <c r="K207" s="3">
        <f>YEAR(Table1[[#This Row],[Date]])</f>
        <v>2024</v>
      </c>
      <c r="L207" s="6">
        <f>Table1[[#This Row],[Revenue]]/Table1[[#This Row],[Target]]</f>
        <v>1.1548010855130204</v>
      </c>
      <c r="M207" s="3" t="str">
        <f>IF(Table1[[#This Row],[Achieved %]]&gt;1,"▲","▼")</f>
        <v>▲</v>
      </c>
    </row>
    <row r="208" spans="1:13" x14ac:dyDescent="0.25">
      <c r="A208" s="5">
        <v>45498</v>
      </c>
      <c r="B208" s="3" t="s">
        <v>18</v>
      </c>
      <c r="C208" s="3" t="s">
        <v>20</v>
      </c>
      <c r="D208" s="3" t="s">
        <v>17</v>
      </c>
      <c r="E208" s="3" t="str">
        <f>VLOOKUP(Table1[[#This Row],[Product]],Master!A:C,2,FALSE)</f>
        <v>Electronics</v>
      </c>
      <c r="F208" s="3">
        <f>VLOOKUP(Table1[[#This Row],[Product]],Master!A:C,3,FALSE)</f>
        <v>20000</v>
      </c>
      <c r="G208" s="3">
        <v>9</v>
      </c>
      <c r="H208" s="3">
        <v>180000</v>
      </c>
      <c r="I208" s="3">
        <v>190281</v>
      </c>
      <c r="J208" s="3" t="str">
        <f>TEXT(Table1[[#This Row],[Date]],"mmm")</f>
        <v>Jul</v>
      </c>
      <c r="K208" s="3">
        <f>YEAR(Table1[[#This Row],[Date]])</f>
        <v>2024</v>
      </c>
      <c r="L208" s="6">
        <f>Table1[[#This Row],[Revenue]]/Table1[[#This Row],[Target]]</f>
        <v>0.9459693821243319</v>
      </c>
      <c r="M208" s="3" t="str">
        <f>IF(Table1[[#This Row],[Achieved %]]&gt;1,"▲","▼")</f>
        <v>▼</v>
      </c>
    </row>
    <row r="209" spans="1:13" x14ac:dyDescent="0.25">
      <c r="A209" s="5">
        <v>45499</v>
      </c>
      <c r="B209" s="3" t="s">
        <v>8</v>
      </c>
      <c r="C209" s="3" t="s">
        <v>19</v>
      </c>
      <c r="D209" s="3" t="s">
        <v>14</v>
      </c>
      <c r="E209" s="3" t="str">
        <f>VLOOKUP(Table1[[#This Row],[Product]],Master!A:C,2,FALSE)</f>
        <v>Office</v>
      </c>
      <c r="F209" s="3">
        <f>VLOOKUP(Table1[[#This Row],[Product]],Master!A:C,3,FALSE)</f>
        <v>15000</v>
      </c>
      <c r="G209" s="3">
        <v>6</v>
      </c>
      <c r="H209" s="3">
        <v>90000</v>
      </c>
      <c r="I209" s="3">
        <v>99111</v>
      </c>
      <c r="J209" s="3" t="str">
        <f>TEXT(Table1[[#This Row],[Date]],"mmm")</f>
        <v>Jul</v>
      </c>
      <c r="K209" s="3">
        <f>YEAR(Table1[[#This Row],[Date]])</f>
        <v>2024</v>
      </c>
      <c r="L209" s="6">
        <f>Table1[[#This Row],[Revenue]]/Table1[[#This Row],[Target]]</f>
        <v>0.90807276689772076</v>
      </c>
      <c r="M209" s="3" t="str">
        <f>IF(Table1[[#This Row],[Achieved %]]&gt;1,"▲","▼")</f>
        <v>▼</v>
      </c>
    </row>
    <row r="210" spans="1:13" x14ac:dyDescent="0.25">
      <c r="A210" s="5">
        <v>45500</v>
      </c>
      <c r="B210" s="3" t="s">
        <v>12</v>
      </c>
      <c r="C210" s="3" t="s">
        <v>9</v>
      </c>
      <c r="D210" s="3" t="s">
        <v>21</v>
      </c>
      <c r="E210" s="3" t="str">
        <f>VLOOKUP(Table1[[#This Row],[Product]],Master!A:C,2,FALSE)</f>
        <v>Electronics</v>
      </c>
      <c r="F210" s="3">
        <f>VLOOKUP(Table1[[#This Row],[Product]],Master!A:C,3,FALSE)</f>
        <v>30000</v>
      </c>
      <c r="G210" s="3">
        <v>9</v>
      </c>
      <c r="H210" s="3">
        <v>270000</v>
      </c>
      <c r="I210" s="3">
        <v>286124</v>
      </c>
      <c r="J210" s="3" t="str">
        <f>TEXT(Table1[[#This Row],[Date]],"mmm")</f>
        <v>Jul</v>
      </c>
      <c r="K210" s="3">
        <f>YEAR(Table1[[#This Row],[Date]])</f>
        <v>2024</v>
      </c>
      <c r="L210" s="6">
        <f>Table1[[#This Row],[Revenue]]/Table1[[#This Row],[Target]]</f>
        <v>0.94364681047378063</v>
      </c>
      <c r="M210" s="3" t="str">
        <f>IF(Table1[[#This Row],[Achieved %]]&gt;1,"▲","▼")</f>
        <v>▼</v>
      </c>
    </row>
    <row r="211" spans="1:13" x14ac:dyDescent="0.25">
      <c r="A211" s="5">
        <v>45501</v>
      </c>
      <c r="B211" s="3" t="s">
        <v>12</v>
      </c>
      <c r="C211" s="3" t="s">
        <v>9</v>
      </c>
      <c r="D211" s="3" t="s">
        <v>10</v>
      </c>
      <c r="E211" s="3" t="str">
        <f>VLOOKUP(Table1[[#This Row],[Product]],Master!A:C,2,FALSE)</f>
        <v>Electronics</v>
      </c>
      <c r="F211" s="3">
        <f>VLOOKUP(Table1[[#This Row],[Product]],Master!A:C,3,FALSE)</f>
        <v>50000</v>
      </c>
      <c r="G211" s="3">
        <v>8</v>
      </c>
      <c r="H211" s="3">
        <v>400000</v>
      </c>
      <c r="I211" s="3">
        <v>384845</v>
      </c>
      <c r="J211" s="3" t="str">
        <f>TEXT(Table1[[#This Row],[Date]],"mmm")</f>
        <v>Jul</v>
      </c>
      <c r="K211" s="3">
        <f>YEAR(Table1[[#This Row],[Date]])</f>
        <v>2024</v>
      </c>
      <c r="L211" s="6">
        <f>Table1[[#This Row],[Revenue]]/Table1[[#This Row],[Target]]</f>
        <v>1.0393794904442049</v>
      </c>
      <c r="M211" s="3" t="str">
        <f>IF(Table1[[#This Row],[Achieved %]]&gt;1,"▲","▼")</f>
        <v>▲</v>
      </c>
    </row>
    <row r="212" spans="1:13" x14ac:dyDescent="0.25">
      <c r="A212" s="5">
        <v>45502</v>
      </c>
      <c r="B212" s="3" t="s">
        <v>16</v>
      </c>
      <c r="C212" s="3" t="s">
        <v>9</v>
      </c>
      <c r="D212" s="3" t="s">
        <v>21</v>
      </c>
      <c r="E212" s="3" t="str">
        <f>VLOOKUP(Table1[[#This Row],[Product]],Master!A:C,2,FALSE)</f>
        <v>Electronics</v>
      </c>
      <c r="F212" s="3">
        <f>VLOOKUP(Table1[[#This Row],[Product]],Master!A:C,3,FALSE)</f>
        <v>30000</v>
      </c>
      <c r="G212" s="3">
        <v>1</v>
      </c>
      <c r="H212" s="3">
        <v>30000</v>
      </c>
      <c r="I212" s="3">
        <v>20768</v>
      </c>
      <c r="J212" s="3" t="str">
        <f>TEXT(Table1[[#This Row],[Date]],"mmm")</f>
        <v>Jul</v>
      </c>
      <c r="K212" s="3">
        <f>YEAR(Table1[[#This Row],[Date]])</f>
        <v>2024</v>
      </c>
      <c r="L212" s="6">
        <f>Table1[[#This Row],[Revenue]]/Table1[[#This Row],[Target]]</f>
        <v>1.4445300462249615</v>
      </c>
      <c r="M212" s="3" t="str">
        <f>IF(Table1[[#This Row],[Achieved %]]&gt;1,"▲","▼")</f>
        <v>▲</v>
      </c>
    </row>
    <row r="213" spans="1:13" x14ac:dyDescent="0.25">
      <c r="A213" s="5">
        <v>45503</v>
      </c>
      <c r="B213" s="3" t="s">
        <v>16</v>
      </c>
      <c r="C213" s="3" t="s">
        <v>20</v>
      </c>
      <c r="D213" s="3" t="s">
        <v>10</v>
      </c>
      <c r="E213" s="3" t="str">
        <f>VLOOKUP(Table1[[#This Row],[Product]],Master!A:C,2,FALSE)</f>
        <v>Electronics</v>
      </c>
      <c r="F213" s="3">
        <f>VLOOKUP(Table1[[#This Row],[Product]],Master!A:C,3,FALSE)</f>
        <v>50000</v>
      </c>
      <c r="G213" s="3">
        <v>7</v>
      </c>
      <c r="H213" s="3">
        <v>350000</v>
      </c>
      <c r="I213" s="3">
        <v>356952</v>
      </c>
      <c r="J213" s="3" t="str">
        <f>TEXT(Table1[[#This Row],[Date]],"mmm")</f>
        <v>Jul</v>
      </c>
      <c r="K213" s="3">
        <f>YEAR(Table1[[#This Row],[Date]])</f>
        <v>2024</v>
      </c>
      <c r="L213" s="6">
        <f>Table1[[#This Row],[Revenue]]/Table1[[#This Row],[Target]]</f>
        <v>0.98052399202133622</v>
      </c>
      <c r="M213" s="3" t="str">
        <f>IF(Table1[[#This Row],[Achieved %]]&gt;1,"▲","▼")</f>
        <v>▼</v>
      </c>
    </row>
    <row r="214" spans="1:13" x14ac:dyDescent="0.25">
      <c r="A214" s="5">
        <v>45504</v>
      </c>
      <c r="B214" s="3" t="s">
        <v>18</v>
      </c>
      <c r="C214" s="3" t="s">
        <v>13</v>
      </c>
      <c r="D214" s="3" t="s">
        <v>14</v>
      </c>
      <c r="E214" s="3" t="str">
        <f>VLOOKUP(Table1[[#This Row],[Product]],Master!A:C,2,FALSE)</f>
        <v>Office</v>
      </c>
      <c r="F214" s="3">
        <f>VLOOKUP(Table1[[#This Row],[Product]],Master!A:C,3,FALSE)</f>
        <v>15000</v>
      </c>
      <c r="G214" s="3">
        <v>3</v>
      </c>
      <c r="H214" s="3">
        <v>45000</v>
      </c>
      <c r="I214" s="3">
        <v>46399</v>
      </c>
      <c r="J214" s="3" t="str">
        <f>TEXT(Table1[[#This Row],[Date]],"mmm")</f>
        <v>Jul</v>
      </c>
      <c r="K214" s="3">
        <f>YEAR(Table1[[#This Row],[Date]])</f>
        <v>2024</v>
      </c>
      <c r="L214" s="6">
        <f>Table1[[#This Row],[Revenue]]/Table1[[#This Row],[Target]]</f>
        <v>0.96984848811396795</v>
      </c>
      <c r="M214" s="3" t="str">
        <f>IF(Table1[[#This Row],[Achieved %]]&gt;1,"▲","▼")</f>
        <v>▼</v>
      </c>
    </row>
    <row r="215" spans="1:13" x14ac:dyDescent="0.25">
      <c r="A215" s="5">
        <v>45505</v>
      </c>
      <c r="B215" s="3" t="s">
        <v>12</v>
      </c>
      <c r="C215" s="3" t="s">
        <v>22</v>
      </c>
      <c r="D215" s="3" t="s">
        <v>17</v>
      </c>
      <c r="E215" s="3" t="str">
        <f>VLOOKUP(Table1[[#This Row],[Product]],Master!A:C,2,FALSE)</f>
        <v>Electronics</v>
      </c>
      <c r="F215" s="3">
        <f>VLOOKUP(Table1[[#This Row],[Product]],Master!A:C,3,FALSE)</f>
        <v>20000</v>
      </c>
      <c r="G215" s="3">
        <v>4</v>
      </c>
      <c r="H215" s="3">
        <v>80000</v>
      </c>
      <c r="I215" s="3">
        <v>87309</v>
      </c>
      <c r="J215" s="3" t="str">
        <f>TEXT(Table1[[#This Row],[Date]],"mmm")</f>
        <v>Aug</v>
      </c>
      <c r="K215" s="3">
        <f>YEAR(Table1[[#This Row],[Date]])</f>
        <v>2024</v>
      </c>
      <c r="L215" s="6">
        <f>Table1[[#This Row],[Revenue]]/Table1[[#This Row],[Target]]</f>
        <v>0.91628583536634256</v>
      </c>
      <c r="M215" s="3" t="str">
        <f>IF(Table1[[#This Row],[Achieved %]]&gt;1,"▲","▼")</f>
        <v>▼</v>
      </c>
    </row>
    <row r="216" spans="1:13" x14ac:dyDescent="0.25">
      <c r="A216" s="5">
        <v>45506</v>
      </c>
      <c r="B216" s="3" t="s">
        <v>16</v>
      </c>
      <c r="C216" s="3" t="s">
        <v>19</v>
      </c>
      <c r="D216" s="3" t="s">
        <v>17</v>
      </c>
      <c r="E216" s="3" t="str">
        <f>VLOOKUP(Table1[[#This Row],[Product]],Master!A:C,2,FALSE)</f>
        <v>Electronics</v>
      </c>
      <c r="F216" s="3">
        <f>VLOOKUP(Table1[[#This Row],[Product]],Master!A:C,3,FALSE)</f>
        <v>20000</v>
      </c>
      <c r="G216" s="3">
        <v>1</v>
      </c>
      <c r="H216" s="3">
        <v>20000</v>
      </c>
      <c r="I216" s="3">
        <v>27718</v>
      </c>
      <c r="J216" s="3" t="str">
        <f>TEXT(Table1[[#This Row],[Date]],"mmm")</f>
        <v>Aug</v>
      </c>
      <c r="K216" s="3">
        <f>YEAR(Table1[[#This Row],[Date]])</f>
        <v>2024</v>
      </c>
      <c r="L216" s="6">
        <f>Table1[[#This Row],[Revenue]]/Table1[[#This Row],[Target]]</f>
        <v>0.72155278158597302</v>
      </c>
      <c r="M216" s="3" t="str">
        <f>IF(Table1[[#This Row],[Achieved %]]&gt;1,"▲","▼")</f>
        <v>▼</v>
      </c>
    </row>
    <row r="217" spans="1:13" x14ac:dyDescent="0.25">
      <c r="A217" s="5">
        <v>45507</v>
      </c>
      <c r="B217" s="3" t="s">
        <v>18</v>
      </c>
      <c r="C217" s="3" t="s">
        <v>19</v>
      </c>
      <c r="D217" s="3" t="s">
        <v>10</v>
      </c>
      <c r="E217" s="3" t="str">
        <f>VLOOKUP(Table1[[#This Row],[Product]],Master!A:C,2,FALSE)</f>
        <v>Electronics</v>
      </c>
      <c r="F217" s="3">
        <f>VLOOKUP(Table1[[#This Row],[Product]],Master!A:C,3,FALSE)</f>
        <v>50000</v>
      </c>
      <c r="G217" s="3">
        <v>1</v>
      </c>
      <c r="H217" s="3">
        <v>50000</v>
      </c>
      <c r="I217" s="3">
        <v>56418</v>
      </c>
      <c r="J217" s="3" t="str">
        <f>TEXT(Table1[[#This Row],[Date]],"mmm")</f>
        <v>Aug</v>
      </c>
      <c r="K217" s="3">
        <f>YEAR(Table1[[#This Row],[Date]])</f>
        <v>2024</v>
      </c>
      <c r="L217" s="6">
        <f>Table1[[#This Row],[Revenue]]/Table1[[#This Row],[Target]]</f>
        <v>0.88624197951008543</v>
      </c>
      <c r="M217" s="3" t="str">
        <f>IF(Table1[[#This Row],[Achieved %]]&gt;1,"▲","▼")</f>
        <v>▼</v>
      </c>
    </row>
    <row r="218" spans="1:13" x14ac:dyDescent="0.25">
      <c r="A218" s="5">
        <v>45508</v>
      </c>
      <c r="B218" s="3" t="s">
        <v>12</v>
      </c>
      <c r="C218" s="3" t="s">
        <v>22</v>
      </c>
      <c r="D218" s="3" t="s">
        <v>14</v>
      </c>
      <c r="E218" s="3" t="str">
        <f>VLOOKUP(Table1[[#This Row],[Product]],Master!A:C,2,FALSE)</f>
        <v>Office</v>
      </c>
      <c r="F218" s="3">
        <f>VLOOKUP(Table1[[#This Row],[Product]],Master!A:C,3,FALSE)</f>
        <v>15000</v>
      </c>
      <c r="G218" s="3">
        <v>3</v>
      </c>
      <c r="H218" s="3">
        <v>45000</v>
      </c>
      <c r="I218" s="3">
        <v>33889</v>
      </c>
      <c r="J218" s="3" t="str">
        <f>TEXT(Table1[[#This Row],[Date]],"mmm")</f>
        <v>Aug</v>
      </c>
      <c r="K218" s="3">
        <f>YEAR(Table1[[#This Row],[Date]])</f>
        <v>2024</v>
      </c>
      <c r="L218" s="6">
        <f>Table1[[#This Row],[Revenue]]/Table1[[#This Row],[Target]]</f>
        <v>1.327864498804922</v>
      </c>
      <c r="M218" s="3" t="str">
        <f>IF(Table1[[#This Row],[Achieved %]]&gt;1,"▲","▼")</f>
        <v>▲</v>
      </c>
    </row>
    <row r="219" spans="1:13" x14ac:dyDescent="0.25">
      <c r="A219" s="5">
        <v>45509</v>
      </c>
      <c r="B219" s="3" t="s">
        <v>12</v>
      </c>
      <c r="C219" s="3" t="s">
        <v>13</v>
      </c>
      <c r="D219" s="3" t="s">
        <v>14</v>
      </c>
      <c r="E219" s="3" t="str">
        <f>VLOOKUP(Table1[[#This Row],[Product]],Master!A:C,2,FALSE)</f>
        <v>Office</v>
      </c>
      <c r="F219" s="3">
        <f>VLOOKUP(Table1[[#This Row],[Product]],Master!A:C,3,FALSE)</f>
        <v>15000</v>
      </c>
      <c r="G219" s="3">
        <v>9</v>
      </c>
      <c r="H219" s="3">
        <v>135000</v>
      </c>
      <c r="I219" s="3">
        <v>119409</v>
      </c>
      <c r="J219" s="3" t="str">
        <f>TEXT(Table1[[#This Row],[Date]],"mmm")</f>
        <v>Aug</v>
      </c>
      <c r="K219" s="3">
        <f>YEAR(Table1[[#This Row],[Date]])</f>
        <v>2024</v>
      </c>
      <c r="L219" s="6">
        <f>Table1[[#This Row],[Revenue]]/Table1[[#This Row],[Target]]</f>
        <v>1.1305680476346005</v>
      </c>
      <c r="M219" s="3" t="str">
        <f>IF(Table1[[#This Row],[Achieved %]]&gt;1,"▲","▼")</f>
        <v>▲</v>
      </c>
    </row>
    <row r="220" spans="1:13" x14ac:dyDescent="0.25">
      <c r="A220" s="5">
        <v>45510</v>
      </c>
      <c r="B220" s="3" t="s">
        <v>18</v>
      </c>
      <c r="C220" s="3" t="s">
        <v>22</v>
      </c>
      <c r="D220" s="3" t="s">
        <v>10</v>
      </c>
      <c r="E220" s="3" t="str">
        <f>VLOOKUP(Table1[[#This Row],[Product]],Master!A:C,2,FALSE)</f>
        <v>Electronics</v>
      </c>
      <c r="F220" s="3">
        <f>VLOOKUP(Table1[[#This Row],[Product]],Master!A:C,3,FALSE)</f>
        <v>50000</v>
      </c>
      <c r="G220" s="3">
        <v>3</v>
      </c>
      <c r="H220" s="3">
        <v>150000</v>
      </c>
      <c r="I220" s="3">
        <v>138142</v>
      </c>
      <c r="J220" s="3" t="str">
        <f>TEXT(Table1[[#This Row],[Date]],"mmm")</f>
        <v>Aug</v>
      </c>
      <c r="K220" s="3">
        <f>YEAR(Table1[[#This Row],[Date]])</f>
        <v>2024</v>
      </c>
      <c r="L220" s="6">
        <f>Table1[[#This Row],[Revenue]]/Table1[[#This Row],[Target]]</f>
        <v>1.0858392089299416</v>
      </c>
      <c r="M220" s="3" t="str">
        <f>IF(Table1[[#This Row],[Achieved %]]&gt;1,"▲","▼")</f>
        <v>▲</v>
      </c>
    </row>
    <row r="221" spans="1:13" x14ac:dyDescent="0.25">
      <c r="A221" s="5">
        <v>45511</v>
      </c>
      <c r="B221" s="3" t="s">
        <v>8</v>
      </c>
      <c r="C221" s="3" t="s">
        <v>19</v>
      </c>
      <c r="D221" s="3" t="s">
        <v>14</v>
      </c>
      <c r="E221" s="3" t="str">
        <f>VLOOKUP(Table1[[#This Row],[Product]],Master!A:C,2,FALSE)</f>
        <v>Office</v>
      </c>
      <c r="F221" s="3">
        <f>VLOOKUP(Table1[[#This Row],[Product]],Master!A:C,3,FALSE)</f>
        <v>15000</v>
      </c>
      <c r="G221" s="3">
        <v>6</v>
      </c>
      <c r="H221" s="3">
        <v>90000</v>
      </c>
      <c r="I221" s="3">
        <v>92572</v>
      </c>
      <c r="J221" s="3" t="str">
        <f>TEXT(Table1[[#This Row],[Date]],"mmm")</f>
        <v>Aug</v>
      </c>
      <c r="K221" s="3">
        <f>YEAR(Table1[[#This Row],[Date]])</f>
        <v>2024</v>
      </c>
      <c r="L221" s="6">
        <f>Table1[[#This Row],[Revenue]]/Table1[[#This Row],[Target]]</f>
        <v>0.97221622088752535</v>
      </c>
      <c r="M221" s="3" t="str">
        <f>IF(Table1[[#This Row],[Achieved %]]&gt;1,"▲","▼")</f>
        <v>▼</v>
      </c>
    </row>
    <row r="222" spans="1:13" x14ac:dyDescent="0.25">
      <c r="A222" s="5">
        <v>45512</v>
      </c>
      <c r="B222" s="3" t="s">
        <v>16</v>
      </c>
      <c r="C222" s="3" t="s">
        <v>9</v>
      </c>
      <c r="D222" s="3" t="s">
        <v>17</v>
      </c>
      <c r="E222" s="3" t="str">
        <f>VLOOKUP(Table1[[#This Row],[Product]],Master!A:C,2,FALSE)</f>
        <v>Electronics</v>
      </c>
      <c r="F222" s="3">
        <f>VLOOKUP(Table1[[#This Row],[Product]],Master!A:C,3,FALSE)</f>
        <v>20000</v>
      </c>
      <c r="G222" s="3">
        <v>3</v>
      </c>
      <c r="H222" s="3">
        <v>60000</v>
      </c>
      <c r="I222" s="3">
        <v>69212</v>
      </c>
      <c r="J222" s="3" t="str">
        <f>TEXT(Table1[[#This Row],[Date]],"mmm")</f>
        <v>Aug</v>
      </c>
      <c r="K222" s="3">
        <f>YEAR(Table1[[#This Row],[Date]])</f>
        <v>2024</v>
      </c>
      <c r="L222" s="6">
        <f>Table1[[#This Row],[Revenue]]/Table1[[#This Row],[Target]]</f>
        <v>0.86690169334797429</v>
      </c>
      <c r="M222" s="3" t="str">
        <f>IF(Table1[[#This Row],[Achieved %]]&gt;1,"▲","▼")</f>
        <v>▼</v>
      </c>
    </row>
    <row r="223" spans="1:13" x14ac:dyDescent="0.25">
      <c r="A223" s="5">
        <v>45513</v>
      </c>
      <c r="B223" s="3" t="s">
        <v>12</v>
      </c>
      <c r="C223" s="3" t="s">
        <v>13</v>
      </c>
      <c r="D223" s="3" t="s">
        <v>17</v>
      </c>
      <c r="E223" s="3" t="str">
        <f>VLOOKUP(Table1[[#This Row],[Product]],Master!A:C,2,FALSE)</f>
        <v>Electronics</v>
      </c>
      <c r="F223" s="3">
        <f>VLOOKUP(Table1[[#This Row],[Product]],Master!A:C,3,FALSE)</f>
        <v>20000</v>
      </c>
      <c r="G223" s="3">
        <v>8</v>
      </c>
      <c r="H223" s="3">
        <v>160000</v>
      </c>
      <c r="I223" s="3">
        <v>147209</v>
      </c>
      <c r="J223" s="3" t="str">
        <f>TEXT(Table1[[#This Row],[Date]],"mmm")</f>
        <v>Aug</v>
      </c>
      <c r="K223" s="3">
        <f>YEAR(Table1[[#This Row],[Date]])</f>
        <v>2024</v>
      </c>
      <c r="L223" s="6">
        <f>Table1[[#This Row],[Revenue]]/Table1[[#This Row],[Target]]</f>
        <v>1.0868900678626987</v>
      </c>
      <c r="M223" s="3" t="str">
        <f>IF(Table1[[#This Row],[Achieved %]]&gt;1,"▲","▼")</f>
        <v>▲</v>
      </c>
    </row>
    <row r="224" spans="1:13" x14ac:dyDescent="0.25">
      <c r="A224" s="5">
        <v>45514</v>
      </c>
      <c r="B224" s="3" t="s">
        <v>18</v>
      </c>
      <c r="C224" s="3" t="s">
        <v>22</v>
      </c>
      <c r="D224" s="3" t="s">
        <v>21</v>
      </c>
      <c r="E224" s="3" t="str">
        <f>VLOOKUP(Table1[[#This Row],[Product]],Master!A:C,2,FALSE)</f>
        <v>Electronics</v>
      </c>
      <c r="F224" s="3">
        <f>VLOOKUP(Table1[[#This Row],[Product]],Master!A:C,3,FALSE)</f>
        <v>30000</v>
      </c>
      <c r="G224" s="3">
        <v>2</v>
      </c>
      <c r="H224" s="3">
        <v>60000</v>
      </c>
      <c r="I224" s="3">
        <v>71398</v>
      </c>
      <c r="J224" s="3" t="str">
        <f>TEXT(Table1[[#This Row],[Date]],"mmm")</f>
        <v>Aug</v>
      </c>
      <c r="K224" s="3">
        <f>YEAR(Table1[[#This Row],[Date]])</f>
        <v>2024</v>
      </c>
      <c r="L224" s="6">
        <f>Table1[[#This Row],[Revenue]]/Table1[[#This Row],[Target]]</f>
        <v>0.84035967394044653</v>
      </c>
      <c r="M224" s="3" t="str">
        <f>IF(Table1[[#This Row],[Achieved %]]&gt;1,"▲","▼")</f>
        <v>▼</v>
      </c>
    </row>
    <row r="225" spans="1:13" x14ac:dyDescent="0.25">
      <c r="A225" s="5">
        <v>45515</v>
      </c>
      <c r="B225" s="3" t="s">
        <v>12</v>
      </c>
      <c r="C225" s="3" t="s">
        <v>20</v>
      </c>
      <c r="D225" s="3" t="s">
        <v>21</v>
      </c>
      <c r="E225" s="3" t="str">
        <f>VLOOKUP(Table1[[#This Row],[Product]],Master!A:C,2,FALSE)</f>
        <v>Electronics</v>
      </c>
      <c r="F225" s="3">
        <f>VLOOKUP(Table1[[#This Row],[Product]],Master!A:C,3,FALSE)</f>
        <v>30000</v>
      </c>
      <c r="G225" s="3">
        <v>3</v>
      </c>
      <c r="H225" s="3">
        <v>90000</v>
      </c>
      <c r="I225" s="3">
        <v>109590</v>
      </c>
      <c r="J225" s="3" t="str">
        <f>TEXT(Table1[[#This Row],[Date]],"mmm")</f>
        <v>Aug</v>
      </c>
      <c r="K225" s="3">
        <f>YEAR(Table1[[#This Row],[Date]])</f>
        <v>2024</v>
      </c>
      <c r="L225" s="6">
        <f>Table1[[#This Row],[Revenue]]/Table1[[#This Row],[Target]]</f>
        <v>0.82124281412537636</v>
      </c>
      <c r="M225" s="3" t="str">
        <f>IF(Table1[[#This Row],[Achieved %]]&gt;1,"▲","▼")</f>
        <v>▼</v>
      </c>
    </row>
    <row r="226" spans="1:13" x14ac:dyDescent="0.25">
      <c r="A226" s="5">
        <v>45516</v>
      </c>
      <c r="B226" s="3" t="s">
        <v>18</v>
      </c>
      <c r="C226" s="3" t="s">
        <v>19</v>
      </c>
      <c r="D226" s="3" t="s">
        <v>17</v>
      </c>
      <c r="E226" s="3" t="str">
        <f>VLOOKUP(Table1[[#This Row],[Product]],Master!A:C,2,FALSE)</f>
        <v>Electronics</v>
      </c>
      <c r="F226" s="3">
        <f>VLOOKUP(Table1[[#This Row],[Product]],Master!A:C,3,FALSE)</f>
        <v>20000</v>
      </c>
      <c r="G226" s="3">
        <v>1</v>
      </c>
      <c r="H226" s="3">
        <v>20000</v>
      </c>
      <c r="I226" s="3">
        <v>25983</v>
      </c>
      <c r="J226" s="3" t="str">
        <f>TEXT(Table1[[#This Row],[Date]],"mmm")</f>
        <v>Aug</v>
      </c>
      <c r="K226" s="3">
        <f>YEAR(Table1[[#This Row],[Date]])</f>
        <v>2024</v>
      </c>
      <c r="L226" s="6">
        <f>Table1[[#This Row],[Revenue]]/Table1[[#This Row],[Target]]</f>
        <v>0.76973405688334684</v>
      </c>
      <c r="M226" s="3" t="str">
        <f>IF(Table1[[#This Row],[Achieved %]]&gt;1,"▲","▼")</f>
        <v>▼</v>
      </c>
    </row>
    <row r="227" spans="1:13" x14ac:dyDescent="0.25">
      <c r="A227" s="5">
        <v>45517</v>
      </c>
      <c r="B227" s="3" t="s">
        <v>8</v>
      </c>
      <c r="C227" s="3" t="s">
        <v>13</v>
      </c>
      <c r="D227" s="3" t="s">
        <v>17</v>
      </c>
      <c r="E227" s="3" t="str">
        <f>VLOOKUP(Table1[[#This Row],[Product]],Master!A:C,2,FALSE)</f>
        <v>Electronics</v>
      </c>
      <c r="F227" s="3">
        <f>VLOOKUP(Table1[[#This Row],[Product]],Master!A:C,3,FALSE)</f>
        <v>20000</v>
      </c>
      <c r="G227" s="3">
        <v>8</v>
      </c>
      <c r="H227" s="3">
        <v>160000</v>
      </c>
      <c r="I227" s="3">
        <v>143995</v>
      </c>
      <c r="J227" s="3" t="str">
        <f>TEXT(Table1[[#This Row],[Date]],"mmm")</f>
        <v>Aug</v>
      </c>
      <c r="K227" s="3">
        <f>YEAR(Table1[[#This Row],[Date]])</f>
        <v>2024</v>
      </c>
      <c r="L227" s="6">
        <f>Table1[[#This Row],[Revenue]]/Table1[[#This Row],[Target]]</f>
        <v>1.1111496926976632</v>
      </c>
      <c r="M227" s="3" t="str">
        <f>IF(Table1[[#This Row],[Achieved %]]&gt;1,"▲","▼")</f>
        <v>▲</v>
      </c>
    </row>
    <row r="228" spans="1:13" x14ac:dyDescent="0.25">
      <c r="A228" s="5">
        <v>45518</v>
      </c>
      <c r="B228" s="3" t="s">
        <v>8</v>
      </c>
      <c r="C228" s="3" t="s">
        <v>19</v>
      </c>
      <c r="D228" s="3" t="s">
        <v>14</v>
      </c>
      <c r="E228" s="3" t="str">
        <f>VLOOKUP(Table1[[#This Row],[Product]],Master!A:C,2,FALSE)</f>
        <v>Office</v>
      </c>
      <c r="F228" s="3">
        <f>VLOOKUP(Table1[[#This Row],[Product]],Master!A:C,3,FALSE)</f>
        <v>15000</v>
      </c>
      <c r="G228" s="3">
        <v>5</v>
      </c>
      <c r="H228" s="3">
        <v>75000</v>
      </c>
      <c r="I228" s="3">
        <v>64489</v>
      </c>
      <c r="J228" s="3" t="str">
        <f>TEXT(Table1[[#This Row],[Date]],"mmm")</f>
        <v>Aug</v>
      </c>
      <c r="K228" s="3">
        <f>YEAR(Table1[[#This Row],[Date]])</f>
        <v>2024</v>
      </c>
      <c r="L228" s="6">
        <f>Table1[[#This Row],[Revenue]]/Table1[[#This Row],[Target]]</f>
        <v>1.1629890368900122</v>
      </c>
      <c r="M228" s="3" t="str">
        <f>IF(Table1[[#This Row],[Achieved %]]&gt;1,"▲","▼")</f>
        <v>▲</v>
      </c>
    </row>
    <row r="229" spans="1:13" x14ac:dyDescent="0.25">
      <c r="A229" s="5">
        <v>45519</v>
      </c>
      <c r="B229" s="3" t="s">
        <v>8</v>
      </c>
      <c r="C229" s="3" t="s">
        <v>19</v>
      </c>
      <c r="D229" s="3" t="s">
        <v>21</v>
      </c>
      <c r="E229" s="3" t="str">
        <f>VLOOKUP(Table1[[#This Row],[Product]],Master!A:C,2,FALSE)</f>
        <v>Electronics</v>
      </c>
      <c r="F229" s="3">
        <f>VLOOKUP(Table1[[#This Row],[Product]],Master!A:C,3,FALSE)</f>
        <v>30000</v>
      </c>
      <c r="G229" s="3">
        <v>3</v>
      </c>
      <c r="H229" s="3">
        <v>90000</v>
      </c>
      <c r="I229" s="3">
        <v>77484</v>
      </c>
      <c r="J229" s="3" t="str">
        <f>TEXT(Table1[[#This Row],[Date]],"mmm")</f>
        <v>Aug</v>
      </c>
      <c r="K229" s="3">
        <f>YEAR(Table1[[#This Row],[Date]])</f>
        <v>2024</v>
      </c>
      <c r="L229" s="6">
        <f>Table1[[#This Row],[Revenue]]/Table1[[#This Row],[Target]]</f>
        <v>1.1615301223478396</v>
      </c>
      <c r="M229" s="3" t="str">
        <f>IF(Table1[[#This Row],[Achieved %]]&gt;1,"▲","▼")</f>
        <v>▲</v>
      </c>
    </row>
    <row r="230" spans="1:13" x14ac:dyDescent="0.25">
      <c r="A230" s="5">
        <v>45520</v>
      </c>
      <c r="B230" s="3" t="s">
        <v>18</v>
      </c>
      <c r="C230" s="3" t="s">
        <v>9</v>
      </c>
      <c r="D230" s="3" t="s">
        <v>10</v>
      </c>
      <c r="E230" s="3" t="str">
        <f>VLOOKUP(Table1[[#This Row],[Product]],Master!A:C,2,FALSE)</f>
        <v>Electronics</v>
      </c>
      <c r="F230" s="3">
        <f>VLOOKUP(Table1[[#This Row],[Product]],Master!A:C,3,FALSE)</f>
        <v>50000</v>
      </c>
      <c r="G230" s="3">
        <v>8</v>
      </c>
      <c r="H230" s="3">
        <v>400000</v>
      </c>
      <c r="I230" s="3">
        <v>394272</v>
      </c>
      <c r="J230" s="3" t="str">
        <f>TEXT(Table1[[#This Row],[Date]],"mmm")</f>
        <v>Aug</v>
      </c>
      <c r="K230" s="3">
        <f>YEAR(Table1[[#This Row],[Date]])</f>
        <v>2024</v>
      </c>
      <c r="L230" s="6">
        <f>Table1[[#This Row],[Revenue]]/Table1[[#This Row],[Target]]</f>
        <v>1.0145280415550686</v>
      </c>
      <c r="M230" s="3" t="str">
        <f>IF(Table1[[#This Row],[Achieved %]]&gt;1,"▲","▼")</f>
        <v>▲</v>
      </c>
    </row>
    <row r="231" spans="1:13" x14ac:dyDescent="0.25">
      <c r="A231" s="5">
        <v>45521</v>
      </c>
      <c r="B231" s="3" t="s">
        <v>12</v>
      </c>
      <c r="C231" s="3" t="s">
        <v>20</v>
      </c>
      <c r="D231" s="3" t="s">
        <v>10</v>
      </c>
      <c r="E231" s="3" t="str">
        <f>VLOOKUP(Table1[[#This Row],[Product]],Master!A:C,2,FALSE)</f>
        <v>Electronics</v>
      </c>
      <c r="F231" s="3">
        <f>VLOOKUP(Table1[[#This Row],[Product]],Master!A:C,3,FALSE)</f>
        <v>50000</v>
      </c>
      <c r="G231" s="3">
        <v>4</v>
      </c>
      <c r="H231" s="3">
        <v>200000</v>
      </c>
      <c r="I231" s="3">
        <v>215349</v>
      </c>
      <c r="J231" s="3" t="str">
        <f>TEXT(Table1[[#This Row],[Date]],"mmm")</f>
        <v>Aug</v>
      </c>
      <c r="K231" s="3">
        <f>YEAR(Table1[[#This Row],[Date]])</f>
        <v>2024</v>
      </c>
      <c r="L231" s="6">
        <f>Table1[[#This Row],[Revenue]]/Table1[[#This Row],[Target]]</f>
        <v>0.92872499988390933</v>
      </c>
      <c r="M231" s="3" t="str">
        <f>IF(Table1[[#This Row],[Achieved %]]&gt;1,"▲","▼")</f>
        <v>▼</v>
      </c>
    </row>
    <row r="232" spans="1:13" x14ac:dyDescent="0.25">
      <c r="A232" s="5">
        <v>45522</v>
      </c>
      <c r="B232" s="3" t="s">
        <v>16</v>
      </c>
      <c r="C232" s="3" t="s">
        <v>19</v>
      </c>
      <c r="D232" s="3" t="s">
        <v>14</v>
      </c>
      <c r="E232" s="3" t="str">
        <f>VLOOKUP(Table1[[#This Row],[Product]],Master!A:C,2,FALSE)</f>
        <v>Office</v>
      </c>
      <c r="F232" s="3">
        <f>VLOOKUP(Table1[[#This Row],[Product]],Master!A:C,3,FALSE)</f>
        <v>15000</v>
      </c>
      <c r="G232" s="3">
        <v>1</v>
      </c>
      <c r="H232" s="3">
        <v>15000</v>
      </c>
      <c r="I232" s="3">
        <v>17794</v>
      </c>
      <c r="J232" s="3" t="str">
        <f>TEXT(Table1[[#This Row],[Date]],"mmm")</f>
        <v>Aug</v>
      </c>
      <c r="K232" s="3">
        <f>YEAR(Table1[[#This Row],[Date]])</f>
        <v>2024</v>
      </c>
      <c r="L232" s="6">
        <f>Table1[[#This Row],[Revenue]]/Table1[[#This Row],[Target]]</f>
        <v>0.84298078003821508</v>
      </c>
      <c r="M232" s="3" t="str">
        <f>IF(Table1[[#This Row],[Achieved %]]&gt;1,"▲","▼")</f>
        <v>▼</v>
      </c>
    </row>
    <row r="233" spans="1:13" x14ac:dyDescent="0.25">
      <c r="A233" s="5">
        <v>45523</v>
      </c>
      <c r="B233" s="3" t="s">
        <v>12</v>
      </c>
      <c r="C233" s="3" t="s">
        <v>22</v>
      </c>
      <c r="D233" s="3" t="s">
        <v>14</v>
      </c>
      <c r="E233" s="3" t="str">
        <f>VLOOKUP(Table1[[#This Row],[Product]],Master!A:C,2,FALSE)</f>
        <v>Office</v>
      </c>
      <c r="F233" s="3">
        <f>VLOOKUP(Table1[[#This Row],[Product]],Master!A:C,3,FALSE)</f>
        <v>15000</v>
      </c>
      <c r="G233" s="3">
        <v>4</v>
      </c>
      <c r="H233" s="3">
        <v>60000</v>
      </c>
      <c r="I233" s="3">
        <v>77328</v>
      </c>
      <c r="J233" s="3" t="str">
        <f>TEXT(Table1[[#This Row],[Date]],"mmm")</f>
        <v>Aug</v>
      </c>
      <c r="K233" s="3">
        <f>YEAR(Table1[[#This Row],[Date]])</f>
        <v>2024</v>
      </c>
      <c r="L233" s="6">
        <f>Table1[[#This Row],[Revenue]]/Table1[[#This Row],[Target]]</f>
        <v>0.77591558038485409</v>
      </c>
      <c r="M233" s="3" t="str">
        <f>IF(Table1[[#This Row],[Achieved %]]&gt;1,"▲","▼")</f>
        <v>▼</v>
      </c>
    </row>
    <row r="234" spans="1:13" x14ac:dyDescent="0.25">
      <c r="A234" s="5">
        <v>45524</v>
      </c>
      <c r="B234" s="3" t="s">
        <v>12</v>
      </c>
      <c r="C234" s="3" t="s">
        <v>19</v>
      </c>
      <c r="D234" s="3" t="s">
        <v>17</v>
      </c>
      <c r="E234" s="3" t="str">
        <f>VLOOKUP(Table1[[#This Row],[Product]],Master!A:C,2,FALSE)</f>
        <v>Electronics</v>
      </c>
      <c r="F234" s="3">
        <f>VLOOKUP(Table1[[#This Row],[Product]],Master!A:C,3,FALSE)</f>
        <v>20000</v>
      </c>
      <c r="G234" s="3">
        <v>5</v>
      </c>
      <c r="H234" s="3">
        <v>100000</v>
      </c>
      <c r="I234" s="3">
        <v>98039</v>
      </c>
      <c r="J234" s="3" t="str">
        <f>TEXT(Table1[[#This Row],[Date]],"mmm")</f>
        <v>Aug</v>
      </c>
      <c r="K234" s="3">
        <f>YEAR(Table1[[#This Row],[Date]])</f>
        <v>2024</v>
      </c>
      <c r="L234" s="6">
        <f>Table1[[#This Row],[Revenue]]/Table1[[#This Row],[Target]]</f>
        <v>1.0200022440049368</v>
      </c>
      <c r="M234" s="3" t="str">
        <f>IF(Table1[[#This Row],[Achieved %]]&gt;1,"▲","▼")</f>
        <v>▲</v>
      </c>
    </row>
    <row r="235" spans="1:13" x14ac:dyDescent="0.25">
      <c r="A235" s="5">
        <v>45525</v>
      </c>
      <c r="B235" s="3" t="s">
        <v>18</v>
      </c>
      <c r="C235" s="3" t="s">
        <v>13</v>
      </c>
      <c r="D235" s="3" t="s">
        <v>14</v>
      </c>
      <c r="E235" s="3" t="str">
        <f>VLOOKUP(Table1[[#This Row],[Product]],Master!A:C,2,FALSE)</f>
        <v>Office</v>
      </c>
      <c r="F235" s="3">
        <f>VLOOKUP(Table1[[#This Row],[Product]],Master!A:C,3,FALSE)</f>
        <v>15000</v>
      </c>
      <c r="G235" s="3">
        <v>7</v>
      </c>
      <c r="H235" s="3">
        <v>105000</v>
      </c>
      <c r="I235" s="3">
        <v>86631</v>
      </c>
      <c r="J235" s="3" t="str">
        <f>TEXT(Table1[[#This Row],[Date]],"mmm")</f>
        <v>Aug</v>
      </c>
      <c r="K235" s="3">
        <f>YEAR(Table1[[#This Row],[Date]])</f>
        <v>2024</v>
      </c>
      <c r="L235" s="6">
        <f>Table1[[#This Row],[Revenue]]/Table1[[#This Row],[Target]]</f>
        <v>1.2120372614883819</v>
      </c>
      <c r="M235" s="3" t="str">
        <f>IF(Table1[[#This Row],[Achieved %]]&gt;1,"▲","▼")</f>
        <v>▲</v>
      </c>
    </row>
    <row r="236" spans="1:13" x14ac:dyDescent="0.25">
      <c r="A236" s="5">
        <v>45526</v>
      </c>
      <c r="B236" s="3" t="s">
        <v>8</v>
      </c>
      <c r="C236" s="3" t="s">
        <v>9</v>
      </c>
      <c r="D236" s="3" t="s">
        <v>17</v>
      </c>
      <c r="E236" s="3" t="str">
        <f>VLOOKUP(Table1[[#This Row],[Product]],Master!A:C,2,FALSE)</f>
        <v>Electronics</v>
      </c>
      <c r="F236" s="3">
        <f>VLOOKUP(Table1[[#This Row],[Product]],Master!A:C,3,FALSE)</f>
        <v>20000</v>
      </c>
      <c r="G236" s="3">
        <v>3</v>
      </c>
      <c r="H236" s="3">
        <v>60000</v>
      </c>
      <c r="I236" s="3">
        <v>48378</v>
      </c>
      <c r="J236" s="3" t="str">
        <f>TEXT(Table1[[#This Row],[Date]],"mmm")</f>
        <v>Aug</v>
      </c>
      <c r="K236" s="3">
        <f>YEAR(Table1[[#This Row],[Date]])</f>
        <v>2024</v>
      </c>
      <c r="L236" s="6">
        <f>Table1[[#This Row],[Revenue]]/Table1[[#This Row],[Target]]</f>
        <v>1.240233163834801</v>
      </c>
      <c r="M236" s="3" t="str">
        <f>IF(Table1[[#This Row],[Achieved %]]&gt;1,"▲","▼")</f>
        <v>▲</v>
      </c>
    </row>
    <row r="237" spans="1:13" x14ac:dyDescent="0.25">
      <c r="A237" s="5">
        <v>45527</v>
      </c>
      <c r="B237" s="3" t="s">
        <v>8</v>
      </c>
      <c r="C237" s="3" t="s">
        <v>22</v>
      </c>
      <c r="D237" s="3" t="s">
        <v>10</v>
      </c>
      <c r="E237" s="3" t="str">
        <f>VLOOKUP(Table1[[#This Row],[Product]],Master!A:C,2,FALSE)</f>
        <v>Electronics</v>
      </c>
      <c r="F237" s="3">
        <f>VLOOKUP(Table1[[#This Row],[Product]],Master!A:C,3,FALSE)</f>
        <v>50000</v>
      </c>
      <c r="G237" s="3">
        <v>1</v>
      </c>
      <c r="H237" s="3">
        <v>50000</v>
      </c>
      <c r="I237" s="3">
        <v>58616</v>
      </c>
      <c r="J237" s="3" t="str">
        <f>TEXT(Table1[[#This Row],[Date]],"mmm")</f>
        <v>Aug</v>
      </c>
      <c r="K237" s="3">
        <f>YEAR(Table1[[#This Row],[Date]])</f>
        <v>2024</v>
      </c>
      <c r="L237" s="6">
        <f>Table1[[#This Row],[Revenue]]/Table1[[#This Row],[Target]]</f>
        <v>0.85300941722396617</v>
      </c>
      <c r="M237" s="3" t="str">
        <f>IF(Table1[[#This Row],[Achieved %]]&gt;1,"▲","▼")</f>
        <v>▼</v>
      </c>
    </row>
    <row r="238" spans="1:13" x14ac:dyDescent="0.25">
      <c r="A238" s="5">
        <v>45528</v>
      </c>
      <c r="B238" s="3" t="s">
        <v>8</v>
      </c>
      <c r="C238" s="3" t="s">
        <v>13</v>
      </c>
      <c r="D238" s="3" t="s">
        <v>14</v>
      </c>
      <c r="E238" s="3" t="str">
        <f>VLOOKUP(Table1[[#This Row],[Product]],Master!A:C,2,FALSE)</f>
        <v>Office</v>
      </c>
      <c r="F238" s="3">
        <f>VLOOKUP(Table1[[#This Row],[Product]],Master!A:C,3,FALSE)</f>
        <v>15000</v>
      </c>
      <c r="G238" s="3">
        <v>1</v>
      </c>
      <c r="H238" s="3">
        <v>15000</v>
      </c>
      <c r="I238" s="3">
        <v>16227</v>
      </c>
      <c r="J238" s="3" t="str">
        <f>TEXT(Table1[[#This Row],[Date]],"mmm")</f>
        <v>Aug</v>
      </c>
      <c r="K238" s="3">
        <f>YEAR(Table1[[#This Row],[Date]])</f>
        <v>2024</v>
      </c>
      <c r="L238" s="6">
        <f>Table1[[#This Row],[Revenue]]/Table1[[#This Row],[Target]]</f>
        <v>0.92438528378628215</v>
      </c>
      <c r="M238" s="3" t="str">
        <f>IF(Table1[[#This Row],[Achieved %]]&gt;1,"▲","▼")</f>
        <v>▼</v>
      </c>
    </row>
    <row r="239" spans="1:13" x14ac:dyDescent="0.25">
      <c r="A239" s="5">
        <v>45529</v>
      </c>
      <c r="B239" s="3" t="s">
        <v>16</v>
      </c>
      <c r="C239" s="3" t="s">
        <v>20</v>
      </c>
      <c r="D239" s="3" t="s">
        <v>10</v>
      </c>
      <c r="E239" s="3" t="str">
        <f>VLOOKUP(Table1[[#This Row],[Product]],Master!A:C,2,FALSE)</f>
        <v>Electronics</v>
      </c>
      <c r="F239" s="3">
        <f>VLOOKUP(Table1[[#This Row],[Product]],Master!A:C,3,FALSE)</f>
        <v>50000</v>
      </c>
      <c r="G239" s="3">
        <v>5</v>
      </c>
      <c r="H239" s="3">
        <v>250000</v>
      </c>
      <c r="I239" s="3">
        <v>261949</v>
      </c>
      <c r="J239" s="3" t="str">
        <f>TEXT(Table1[[#This Row],[Date]],"mmm")</f>
        <v>Aug</v>
      </c>
      <c r="K239" s="3">
        <f>YEAR(Table1[[#This Row],[Date]])</f>
        <v>2024</v>
      </c>
      <c r="L239" s="6">
        <f>Table1[[#This Row],[Revenue]]/Table1[[#This Row],[Target]]</f>
        <v>0.95438425036934671</v>
      </c>
      <c r="M239" s="3" t="str">
        <f>IF(Table1[[#This Row],[Achieved %]]&gt;1,"▲","▼")</f>
        <v>▼</v>
      </c>
    </row>
    <row r="240" spans="1:13" x14ac:dyDescent="0.25">
      <c r="A240" s="5">
        <v>45530</v>
      </c>
      <c r="B240" s="3" t="s">
        <v>18</v>
      </c>
      <c r="C240" s="3" t="s">
        <v>9</v>
      </c>
      <c r="D240" s="3" t="s">
        <v>10</v>
      </c>
      <c r="E240" s="3" t="str">
        <f>VLOOKUP(Table1[[#This Row],[Product]],Master!A:C,2,FALSE)</f>
        <v>Electronics</v>
      </c>
      <c r="F240" s="3">
        <f>VLOOKUP(Table1[[#This Row],[Product]],Master!A:C,3,FALSE)</f>
        <v>50000</v>
      </c>
      <c r="G240" s="3">
        <v>8</v>
      </c>
      <c r="H240" s="3">
        <v>400000</v>
      </c>
      <c r="I240" s="3">
        <v>384080</v>
      </c>
      <c r="J240" s="3" t="str">
        <f>TEXT(Table1[[#This Row],[Date]],"mmm")</f>
        <v>Aug</v>
      </c>
      <c r="K240" s="3">
        <f>YEAR(Table1[[#This Row],[Date]])</f>
        <v>2024</v>
      </c>
      <c r="L240" s="6">
        <f>Table1[[#This Row],[Revenue]]/Table1[[#This Row],[Target]]</f>
        <v>1.0414496979795875</v>
      </c>
      <c r="M240" s="3" t="str">
        <f>IF(Table1[[#This Row],[Achieved %]]&gt;1,"▲","▼")</f>
        <v>▲</v>
      </c>
    </row>
    <row r="241" spans="1:13" x14ac:dyDescent="0.25">
      <c r="A241" s="5">
        <v>45531</v>
      </c>
      <c r="B241" s="3" t="s">
        <v>16</v>
      </c>
      <c r="C241" s="3" t="s">
        <v>19</v>
      </c>
      <c r="D241" s="3" t="s">
        <v>10</v>
      </c>
      <c r="E241" s="3" t="str">
        <f>VLOOKUP(Table1[[#This Row],[Product]],Master!A:C,2,FALSE)</f>
        <v>Electronics</v>
      </c>
      <c r="F241" s="3">
        <f>VLOOKUP(Table1[[#This Row],[Product]],Master!A:C,3,FALSE)</f>
        <v>50000</v>
      </c>
      <c r="G241" s="3">
        <v>1</v>
      </c>
      <c r="H241" s="3">
        <v>50000</v>
      </c>
      <c r="I241" s="3">
        <v>40706</v>
      </c>
      <c r="J241" s="3" t="str">
        <f>TEXT(Table1[[#This Row],[Date]],"mmm")</f>
        <v>Aug</v>
      </c>
      <c r="K241" s="3">
        <f>YEAR(Table1[[#This Row],[Date]])</f>
        <v>2024</v>
      </c>
      <c r="L241" s="6">
        <f>Table1[[#This Row],[Revenue]]/Table1[[#This Row],[Target]]</f>
        <v>1.2283201493637301</v>
      </c>
      <c r="M241" s="3" t="str">
        <f>IF(Table1[[#This Row],[Achieved %]]&gt;1,"▲","▼")</f>
        <v>▲</v>
      </c>
    </row>
    <row r="242" spans="1:13" x14ac:dyDescent="0.25">
      <c r="A242" s="5">
        <v>45532</v>
      </c>
      <c r="B242" s="3" t="s">
        <v>16</v>
      </c>
      <c r="C242" s="3" t="s">
        <v>20</v>
      </c>
      <c r="D242" s="3" t="s">
        <v>10</v>
      </c>
      <c r="E242" s="3" t="str">
        <f>VLOOKUP(Table1[[#This Row],[Product]],Master!A:C,2,FALSE)</f>
        <v>Electronics</v>
      </c>
      <c r="F242" s="3">
        <f>VLOOKUP(Table1[[#This Row],[Product]],Master!A:C,3,FALSE)</f>
        <v>50000</v>
      </c>
      <c r="G242" s="3">
        <v>1</v>
      </c>
      <c r="H242" s="3">
        <v>50000</v>
      </c>
      <c r="I242" s="3">
        <v>49641</v>
      </c>
      <c r="J242" s="3" t="str">
        <f>TEXT(Table1[[#This Row],[Date]],"mmm")</f>
        <v>Aug</v>
      </c>
      <c r="K242" s="3">
        <f>YEAR(Table1[[#This Row],[Date]])</f>
        <v>2024</v>
      </c>
      <c r="L242" s="6">
        <f>Table1[[#This Row],[Revenue]]/Table1[[#This Row],[Target]]</f>
        <v>1.0072319252231019</v>
      </c>
      <c r="M242" s="3" t="str">
        <f>IF(Table1[[#This Row],[Achieved %]]&gt;1,"▲","▼")</f>
        <v>▲</v>
      </c>
    </row>
    <row r="243" spans="1:13" x14ac:dyDescent="0.25">
      <c r="A243" s="5">
        <v>45533</v>
      </c>
      <c r="B243" s="3" t="s">
        <v>18</v>
      </c>
      <c r="C243" s="3" t="s">
        <v>19</v>
      </c>
      <c r="D243" s="3" t="s">
        <v>17</v>
      </c>
      <c r="E243" s="3" t="str">
        <f>VLOOKUP(Table1[[#This Row],[Product]],Master!A:C,2,FALSE)</f>
        <v>Electronics</v>
      </c>
      <c r="F243" s="3">
        <f>VLOOKUP(Table1[[#This Row],[Product]],Master!A:C,3,FALSE)</f>
        <v>20000</v>
      </c>
      <c r="G243" s="3">
        <v>1</v>
      </c>
      <c r="H243" s="3">
        <v>20000</v>
      </c>
      <c r="I243" s="3">
        <v>28358</v>
      </c>
      <c r="J243" s="3" t="str">
        <f>TEXT(Table1[[#This Row],[Date]],"mmm")</f>
        <v>Aug</v>
      </c>
      <c r="K243" s="3">
        <f>YEAR(Table1[[#This Row],[Date]])</f>
        <v>2024</v>
      </c>
      <c r="L243" s="6">
        <f>Table1[[#This Row],[Revenue]]/Table1[[#This Row],[Target]]</f>
        <v>0.70526835460892867</v>
      </c>
      <c r="M243" s="3" t="str">
        <f>IF(Table1[[#This Row],[Achieved %]]&gt;1,"▲","▼")</f>
        <v>▼</v>
      </c>
    </row>
    <row r="244" spans="1:13" x14ac:dyDescent="0.25">
      <c r="A244" s="5">
        <v>45534</v>
      </c>
      <c r="B244" s="3" t="s">
        <v>18</v>
      </c>
      <c r="C244" s="3" t="s">
        <v>20</v>
      </c>
      <c r="D244" s="3" t="s">
        <v>10</v>
      </c>
      <c r="E244" s="3" t="str">
        <f>VLOOKUP(Table1[[#This Row],[Product]],Master!A:C,2,FALSE)</f>
        <v>Electronics</v>
      </c>
      <c r="F244" s="3">
        <f>VLOOKUP(Table1[[#This Row],[Product]],Master!A:C,3,FALSE)</f>
        <v>50000</v>
      </c>
      <c r="G244" s="3">
        <v>4</v>
      </c>
      <c r="H244" s="3">
        <v>200000</v>
      </c>
      <c r="I244" s="3">
        <v>209030</v>
      </c>
      <c r="J244" s="3" t="str">
        <f>TEXT(Table1[[#This Row],[Date]],"mmm")</f>
        <v>Aug</v>
      </c>
      <c r="K244" s="3">
        <f>YEAR(Table1[[#This Row],[Date]])</f>
        <v>2024</v>
      </c>
      <c r="L244" s="6">
        <f>Table1[[#This Row],[Revenue]]/Table1[[#This Row],[Target]]</f>
        <v>0.95680045926422042</v>
      </c>
      <c r="M244" s="3" t="str">
        <f>IF(Table1[[#This Row],[Achieved %]]&gt;1,"▲","▼")</f>
        <v>▼</v>
      </c>
    </row>
    <row r="245" spans="1:13" x14ac:dyDescent="0.25">
      <c r="A245" s="5">
        <v>45535</v>
      </c>
      <c r="B245" s="3" t="s">
        <v>12</v>
      </c>
      <c r="C245" s="3" t="s">
        <v>19</v>
      </c>
      <c r="D245" s="3" t="s">
        <v>14</v>
      </c>
      <c r="E245" s="3" t="str">
        <f>VLOOKUP(Table1[[#This Row],[Product]],Master!A:C,2,FALSE)</f>
        <v>Office</v>
      </c>
      <c r="F245" s="3">
        <f>VLOOKUP(Table1[[#This Row],[Product]],Master!A:C,3,FALSE)</f>
        <v>15000</v>
      </c>
      <c r="G245" s="3">
        <v>7</v>
      </c>
      <c r="H245" s="3">
        <v>105000</v>
      </c>
      <c r="I245" s="3">
        <v>101419</v>
      </c>
      <c r="J245" s="3" t="str">
        <f>TEXT(Table1[[#This Row],[Date]],"mmm")</f>
        <v>Aug</v>
      </c>
      <c r="K245" s="3">
        <f>YEAR(Table1[[#This Row],[Date]])</f>
        <v>2024</v>
      </c>
      <c r="L245" s="6">
        <f>Table1[[#This Row],[Revenue]]/Table1[[#This Row],[Target]]</f>
        <v>1.0353089657756436</v>
      </c>
      <c r="M245" s="3" t="str">
        <f>IF(Table1[[#This Row],[Achieved %]]&gt;1,"▲","▼")</f>
        <v>▲</v>
      </c>
    </row>
    <row r="246" spans="1:13" x14ac:dyDescent="0.25">
      <c r="A246" s="5">
        <v>45536</v>
      </c>
      <c r="B246" s="3" t="s">
        <v>8</v>
      </c>
      <c r="C246" s="3" t="s">
        <v>19</v>
      </c>
      <c r="D246" s="3" t="s">
        <v>10</v>
      </c>
      <c r="E246" s="3" t="str">
        <f>VLOOKUP(Table1[[#This Row],[Product]],Master!A:C,2,FALSE)</f>
        <v>Electronics</v>
      </c>
      <c r="F246" s="3">
        <f>VLOOKUP(Table1[[#This Row],[Product]],Master!A:C,3,FALSE)</f>
        <v>50000</v>
      </c>
      <c r="G246" s="3">
        <v>9</v>
      </c>
      <c r="H246" s="3">
        <v>450000</v>
      </c>
      <c r="I246" s="3">
        <v>437505</v>
      </c>
      <c r="J246" s="3" t="str">
        <f>TEXT(Table1[[#This Row],[Date]],"mmm")</f>
        <v>Sep</v>
      </c>
      <c r="K246" s="3">
        <f>YEAR(Table1[[#This Row],[Date]])</f>
        <v>2024</v>
      </c>
      <c r="L246" s="6">
        <f>Table1[[#This Row],[Revenue]]/Table1[[#This Row],[Target]]</f>
        <v>1.0285596736037304</v>
      </c>
      <c r="M246" s="3" t="str">
        <f>IF(Table1[[#This Row],[Achieved %]]&gt;1,"▲","▼")</f>
        <v>▲</v>
      </c>
    </row>
    <row r="247" spans="1:13" x14ac:dyDescent="0.25">
      <c r="A247" s="5">
        <v>45537</v>
      </c>
      <c r="B247" s="3" t="s">
        <v>12</v>
      </c>
      <c r="C247" s="3" t="s">
        <v>19</v>
      </c>
      <c r="D247" s="3" t="s">
        <v>14</v>
      </c>
      <c r="E247" s="3" t="str">
        <f>VLOOKUP(Table1[[#This Row],[Product]],Master!A:C,2,FALSE)</f>
        <v>Office</v>
      </c>
      <c r="F247" s="3">
        <f>VLOOKUP(Table1[[#This Row],[Product]],Master!A:C,3,FALSE)</f>
        <v>15000</v>
      </c>
      <c r="G247" s="3">
        <v>2</v>
      </c>
      <c r="H247" s="3">
        <v>30000</v>
      </c>
      <c r="I247" s="3">
        <v>30915</v>
      </c>
      <c r="J247" s="3" t="str">
        <f>TEXT(Table1[[#This Row],[Date]],"mmm")</f>
        <v>Sep</v>
      </c>
      <c r="K247" s="3">
        <f>YEAR(Table1[[#This Row],[Date]])</f>
        <v>2024</v>
      </c>
      <c r="L247" s="6">
        <f>Table1[[#This Row],[Revenue]]/Table1[[#This Row],[Target]]</f>
        <v>0.97040271712760795</v>
      </c>
      <c r="M247" s="3" t="str">
        <f>IF(Table1[[#This Row],[Achieved %]]&gt;1,"▲","▼")</f>
        <v>▼</v>
      </c>
    </row>
    <row r="248" spans="1:13" x14ac:dyDescent="0.25">
      <c r="A248" s="5">
        <v>45538</v>
      </c>
      <c r="B248" s="3" t="s">
        <v>8</v>
      </c>
      <c r="C248" s="3" t="s">
        <v>20</v>
      </c>
      <c r="D248" s="3" t="s">
        <v>10</v>
      </c>
      <c r="E248" s="3" t="str">
        <f>VLOOKUP(Table1[[#This Row],[Product]],Master!A:C,2,FALSE)</f>
        <v>Electronics</v>
      </c>
      <c r="F248" s="3">
        <f>VLOOKUP(Table1[[#This Row],[Product]],Master!A:C,3,FALSE)</f>
        <v>50000</v>
      </c>
      <c r="G248" s="3">
        <v>9</v>
      </c>
      <c r="H248" s="3">
        <v>450000</v>
      </c>
      <c r="I248" s="3">
        <v>436421</v>
      </c>
      <c r="J248" s="3" t="str">
        <f>TEXT(Table1[[#This Row],[Date]],"mmm")</f>
        <v>Sep</v>
      </c>
      <c r="K248" s="3">
        <f>YEAR(Table1[[#This Row],[Date]])</f>
        <v>2024</v>
      </c>
      <c r="L248" s="6">
        <f>Table1[[#This Row],[Revenue]]/Table1[[#This Row],[Target]]</f>
        <v>1.0311144514127413</v>
      </c>
      <c r="M248" s="3" t="str">
        <f>IF(Table1[[#This Row],[Achieved %]]&gt;1,"▲","▼")</f>
        <v>▲</v>
      </c>
    </row>
    <row r="249" spans="1:13" x14ac:dyDescent="0.25">
      <c r="A249" s="5">
        <v>45539</v>
      </c>
      <c r="B249" s="3" t="s">
        <v>16</v>
      </c>
      <c r="C249" s="3" t="s">
        <v>20</v>
      </c>
      <c r="D249" s="3" t="s">
        <v>21</v>
      </c>
      <c r="E249" s="3" t="str">
        <f>VLOOKUP(Table1[[#This Row],[Product]],Master!A:C,2,FALSE)</f>
        <v>Electronics</v>
      </c>
      <c r="F249" s="3">
        <f>VLOOKUP(Table1[[#This Row],[Product]],Master!A:C,3,FALSE)</f>
        <v>30000</v>
      </c>
      <c r="G249" s="3">
        <v>2</v>
      </c>
      <c r="H249" s="3">
        <v>60000</v>
      </c>
      <c r="I249" s="3">
        <v>67549</v>
      </c>
      <c r="J249" s="3" t="str">
        <f>TEXT(Table1[[#This Row],[Date]],"mmm")</f>
        <v>Sep</v>
      </c>
      <c r="K249" s="3">
        <f>YEAR(Table1[[#This Row],[Date]])</f>
        <v>2024</v>
      </c>
      <c r="L249" s="6">
        <f>Table1[[#This Row],[Revenue]]/Table1[[#This Row],[Target]]</f>
        <v>0.88824408947578792</v>
      </c>
      <c r="M249" s="3" t="str">
        <f>IF(Table1[[#This Row],[Achieved %]]&gt;1,"▲","▼")</f>
        <v>▼</v>
      </c>
    </row>
    <row r="250" spans="1:13" x14ac:dyDescent="0.25">
      <c r="A250" s="5">
        <v>45540</v>
      </c>
      <c r="B250" s="3" t="s">
        <v>18</v>
      </c>
      <c r="C250" s="3" t="s">
        <v>20</v>
      </c>
      <c r="D250" s="3" t="s">
        <v>10</v>
      </c>
      <c r="E250" s="3" t="str">
        <f>VLOOKUP(Table1[[#This Row],[Product]],Master!A:C,2,FALSE)</f>
        <v>Electronics</v>
      </c>
      <c r="F250" s="3">
        <f>VLOOKUP(Table1[[#This Row],[Product]],Master!A:C,3,FALSE)</f>
        <v>50000</v>
      </c>
      <c r="G250" s="3">
        <v>3</v>
      </c>
      <c r="H250" s="3">
        <v>150000</v>
      </c>
      <c r="I250" s="3">
        <v>136592</v>
      </c>
      <c r="J250" s="3" t="str">
        <f>TEXT(Table1[[#This Row],[Date]],"mmm")</f>
        <v>Sep</v>
      </c>
      <c r="K250" s="3">
        <f>YEAR(Table1[[#This Row],[Date]])</f>
        <v>2024</v>
      </c>
      <c r="L250" s="6">
        <f>Table1[[#This Row],[Revenue]]/Table1[[#This Row],[Target]]</f>
        <v>1.0981609464683144</v>
      </c>
      <c r="M250" s="3" t="str">
        <f>IF(Table1[[#This Row],[Achieved %]]&gt;1,"▲","▼")</f>
        <v>▲</v>
      </c>
    </row>
    <row r="251" spans="1:13" x14ac:dyDescent="0.25">
      <c r="A251" s="5">
        <v>45541</v>
      </c>
      <c r="B251" s="3" t="s">
        <v>12</v>
      </c>
      <c r="C251" s="3" t="s">
        <v>19</v>
      </c>
      <c r="D251" s="3" t="s">
        <v>14</v>
      </c>
      <c r="E251" s="3" t="str">
        <f>VLOOKUP(Table1[[#This Row],[Product]],Master!A:C,2,FALSE)</f>
        <v>Office</v>
      </c>
      <c r="F251" s="3">
        <f>VLOOKUP(Table1[[#This Row],[Product]],Master!A:C,3,FALSE)</f>
        <v>15000</v>
      </c>
      <c r="G251" s="3">
        <v>2</v>
      </c>
      <c r="H251" s="3">
        <v>30000</v>
      </c>
      <c r="I251" s="3">
        <v>14354</v>
      </c>
      <c r="J251" s="3" t="str">
        <f>TEXT(Table1[[#This Row],[Date]],"mmm")</f>
        <v>Sep</v>
      </c>
      <c r="K251" s="3">
        <f>YEAR(Table1[[#This Row],[Date]])</f>
        <v>2024</v>
      </c>
      <c r="L251" s="6">
        <f>Table1[[#This Row],[Revenue]]/Table1[[#This Row],[Target]]</f>
        <v>2.0900097533788493</v>
      </c>
      <c r="M251" s="3" t="str">
        <f>IF(Table1[[#This Row],[Achieved %]]&gt;1,"▲","▼")</f>
        <v>▲</v>
      </c>
    </row>
    <row r="252" spans="1:13" x14ac:dyDescent="0.25">
      <c r="A252" s="5">
        <v>45542</v>
      </c>
      <c r="B252" s="3" t="s">
        <v>16</v>
      </c>
      <c r="C252" s="3" t="s">
        <v>9</v>
      </c>
      <c r="D252" s="3" t="s">
        <v>10</v>
      </c>
      <c r="E252" s="3" t="str">
        <f>VLOOKUP(Table1[[#This Row],[Product]],Master!A:C,2,FALSE)</f>
        <v>Electronics</v>
      </c>
      <c r="F252" s="3">
        <f>VLOOKUP(Table1[[#This Row],[Product]],Master!A:C,3,FALSE)</f>
        <v>50000</v>
      </c>
      <c r="G252" s="3">
        <v>8</v>
      </c>
      <c r="H252" s="3">
        <v>400000</v>
      </c>
      <c r="I252" s="3">
        <v>412213</v>
      </c>
      <c r="J252" s="3" t="str">
        <f>TEXT(Table1[[#This Row],[Date]],"mmm")</f>
        <v>Sep</v>
      </c>
      <c r="K252" s="3">
        <f>YEAR(Table1[[#This Row],[Date]])</f>
        <v>2024</v>
      </c>
      <c r="L252" s="6">
        <f>Table1[[#This Row],[Revenue]]/Table1[[#This Row],[Target]]</f>
        <v>0.97037211344620378</v>
      </c>
      <c r="M252" s="3" t="str">
        <f>IF(Table1[[#This Row],[Achieved %]]&gt;1,"▲","▼")</f>
        <v>▼</v>
      </c>
    </row>
    <row r="253" spans="1:13" x14ac:dyDescent="0.25">
      <c r="A253" s="5">
        <v>45543</v>
      </c>
      <c r="B253" s="3" t="s">
        <v>18</v>
      </c>
      <c r="C253" s="3" t="s">
        <v>9</v>
      </c>
      <c r="D253" s="3" t="s">
        <v>21</v>
      </c>
      <c r="E253" s="3" t="str">
        <f>VLOOKUP(Table1[[#This Row],[Product]],Master!A:C,2,FALSE)</f>
        <v>Electronics</v>
      </c>
      <c r="F253" s="3">
        <f>VLOOKUP(Table1[[#This Row],[Product]],Master!A:C,3,FALSE)</f>
        <v>30000</v>
      </c>
      <c r="G253" s="3">
        <v>4</v>
      </c>
      <c r="H253" s="3">
        <v>120000</v>
      </c>
      <c r="I253" s="3">
        <v>103313</v>
      </c>
      <c r="J253" s="3" t="str">
        <f>TEXT(Table1[[#This Row],[Date]],"mmm")</f>
        <v>Sep</v>
      </c>
      <c r="K253" s="3">
        <f>YEAR(Table1[[#This Row],[Date]])</f>
        <v>2024</v>
      </c>
      <c r="L253" s="6">
        <f>Table1[[#This Row],[Revenue]]/Table1[[#This Row],[Target]]</f>
        <v>1.1615188795214542</v>
      </c>
      <c r="M253" s="3" t="str">
        <f>IF(Table1[[#This Row],[Achieved %]]&gt;1,"▲","▼")</f>
        <v>▲</v>
      </c>
    </row>
    <row r="254" spans="1:13" x14ac:dyDescent="0.25">
      <c r="A254" s="5">
        <v>45544</v>
      </c>
      <c r="B254" s="3" t="s">
        <v>18</v>
      </c>
      <c r="C254" s="3" t="s">
        <v>20</v>
      </c>
      <c r="D254" s="3" t="s">
        <v>10</v>
      </c>
      <c r="E254" s="3" t="str">
        <f>VLOOKUP(Table1[[#This Row],[Product]],Master!A:C,2,FALSE)</f>
        <v>Electronics</v>
      </c>
      <c r="F254" s="3">
        <f>VLOOKUP(Table1[[#This Row],[Product]],Master!A:C,3,FALSE)</f>
        <v>50000</v>
      </c>
      <c r="G254" s="3">
        <v>1</v>
      </c>
      <c r="H254" s="3">
        <v>50000</v>
      </c>
      <c r="I254" s="3">
        <v>39726</v>
      </c>
      <c r="J254" s="3" t="str">
        <f>TEXT(Table1[[#This Row],[Date]],"mmm")</f>
        <v>Sep</v>
      </c>
      <c r="K254" s="3">
        <f>YEAR(Table1[[#This Row],[Date]])</f>
        <v>2024</v>
      </c>
      <c r="L254" s="6">
        <f>Table1[[#This Row],[Revenue]]/Table1[[#This Row],[Target]]</f>
        <v>1.2586215576700397</v>
      </c>
      <c r="M254" s="3" t="str">
        <f>IF(Table1[[#This Row],[Achieved %]]&gt;1,"▲","▼")</f>
        <v>▲</v>
      </c>
    </row>
    <row r="255" spans="1:13" x14ac:dyDescent="0.25">
      <c r="A255" s="5">
        <v>45545</v>
      </c>
      <c r="B255" s="3" t="s">
        <v>16</v>
      </c>
      <c r="C255" s="3" t="s">
        <v>22</v>
      </c>
      <c r="D255" s="3" t="s">
        <v>21</v>
      </c>
      <c r="E255" s="3" t="str">
        <f>VLOOKUP(Table1[[#This Row],[Product]],Master!A:C,2,FALSE)</f>
        <v>Electronics</v>
      </c>
      <c r="F255" s="3">
        <f>VLOOKUP(Table1[[#This Row],[Product]],Master!A:C,3,FALSE)</f>
        <v>30000</v>
      </c>
      <c r="G255" s="3">
        <v>2</v>
      </c>
      <c r="H255" s="3">
        <v>60000</v>
      </c>
      <c r="I255" s="3">
        <v>79471</v>
      </c>
      <c r="J255" s="3" t="str">
        <f>TEXT(Table1[[#This Row],[Date]],"mmm")</f>
        <v>Sep</v>
      </c>
      <c r="K255" s="3">
        <f>YEAR(Table1[[#This Row],[Date]])</f>
        <v>2024</v>
      </c>
      <c r="L255" s="6">
        <f>Table1[[#This Row],[Revenue]]/Table1[[#This Row],[Target]]</f>
        <v>0.75499238716009609</v>
      </c>
      <c r="M255" s="3" t="str">
        <f>IF(Table1[[#This Row],[Achieved %]]&gt;1,"▲","▼")</f>
        <v>▼</v>
      </c>
    </row>
    <row r="256" spans="1:13" x14ac:dyDescent="0.25">
      <c r="A256" s="5">
        <v>45546</v>
      </c>
      <c r="B256" s="3" t="s">
        <v>8</v>
      </c>
      <c r="C256" s="3" t="s">
        <v>20</v>
      </c>
      <c r="D256" s="3" t="s">
        <v>14</v>
      </c>
      <c r="E256" s="3" t="str">
        <f>VLOOKUP(Table1[[#This Row],[Product]],Master!A:C,2,FALSE)</f>
        <v>Office</v>
      </c>
      <c r="F256" s="3">
        <f>VLOOKUP(Table1[[#This Row],[Product]],Master!A:C,3,FALSE)</f>
        <v>15000</v>
      </c>
      <c r="G256" s="3">
        <v>6</v>
      </c>
      <c r="H256" s="3">
        <v>90000</v>
      </c>
      <c r="I256" s="3">
        <v>91129</v>
      </c>
      <c r="J256" s="3" t="str">
        <f>TEXT(Table1[[#This Row],[Date]],"mmm")</f>
        <v>Sep</v>
      </c>
      <c r="K256" s="3">
        <f>YEAR(Table1[[#This Row],[Date]])</f>
        <v>2024</v>
      </c>
      <c r="L256" s="6">
        <f>Table1[[#This Row],[Revenue]]/Table1[[#This Row],[Target]]</f>
        <v>0.98761096906582979</v>
      </c>
      <c r="M256" s="3" t="str">
        <f>IF(Table1[[#This Row],[Achieved %]]&gt;1,"▲","▼")</f>
        <v>▼</v>
      </c>
    </row>
    <row r="257" spans="1:13" x14ac:dyDescent="0.25">
      <c r="A257" s="5">
        <v>45547</v>
      </c>
      <c r="B257" s="3" t="s">
        <v>12</v>
      </c>
      <c r="C257" s="3" t="s">
        <v>20</v>
      </c>
      <c r="D257" s="3" t="s">
        <v>17</v>
      </c>
      <c r="E257" s="3" t="str">
        <f>VLOOKUP(Table1[[#This Row],[Product]],Master!A:C,2,FALSE)</f>
        <v>Electronics</v>
      </c>
      <c r="F257" s="3">
        <f>VLOOKUP(Table1[[#This Row],[Product]],Master!A:C,3,FALSE)</f>
        <v>20000</v>
      </c>
      <c r="G257" s="3">
        <v>6</v>
      </c>
      <c r="H257" s="3">
        <v>120000</v>
      </c>
      <c r="I257" s="3">
        <v>135772</v>
      </c>
      <c r="J257" s="3" t="str">
        <f>TEXT(Table1[[#This Row],[Date]],"mmm")</f>
        <v>Sep</v>
      </c>
      <c r="K257" s="3">
        <f>YEAR(Table1[[#This Row],[Date]])</f>
        <v>2024</v>
      </c>
      <c r="L257" s="6">
        <f>Table1[[#This Row],[Revenue]]/Table1[[#This Row],[Target]]</f>
        <v>0.88383466399552191</v>
      </c>
      <c r="M257" s="3" t="str">
        <f>IF(Table1[[#This Row],[Achieved %]]&gt;1,"▲","▼")</f>
        <v>▼</v>
      </c>
    </row>
    <row r="258" spans="1:13" x14ac:dyDescent="0.25">
      <c r="A258" s="5">
        <v>45548</v>
      </c>
      <c r="B258" s="3" t="s">
        <v>18</v>
      </c>
      <c r="C258" s="3" t="s">
        <v>22</v>
      </c>
      <c r="D258" s="3" t="s">
        <v>21</v>
      </c>
      <c r="E258" s="3" t="str">
        <f>VLOOKUP(Table1[[#This Row],[Product]],Master!A:C,2,FALSE)</f>
        <v>Electronics</v>
      </c>
      <c r="F258" s="3">
        <f>VLOOKUP(Table1[[#This Row],[Product]],Master!A:C,3,FALSE)</f>
        <v>30000</v>
      </c>
      <c r="G258" s="3">
        <v>2</v>
      </c>
      <c r="H258" s="3">
        <v>60000</v>
      </c>
      <c r="I258" s="3">
        <v>76115</v>
      </c>
      <c r="J258" s="3" t="str">
        <f>TEXT(Table1[[#This Row],[Date]],"mmm")</f>
        <v>Sep</v>
      </c>
      <c r="K258" s="3">
        <f>YEAR(Table1[[#This Row],[Date]])</f>
        <v>2024</v>
      </c>
      <c r="L258" s="6">
        <f>Table1[[#This Row],[Revenue]]/Table1[[#This Row],[Target]]</f>
        <v>0.78828089075740659</v>
      </c>
      <c r="M258" s="3" t="str">
        <f>IF(Table1[[#This Row],[Achieved %]]&gt;1,"▲","▼")</f>
        <v>▼</v>
      </c>
    </row>
    <row r="259" spans="1:13" x14ac:dyDescent="0.25">
      <c r="A259" s="5">
        <v>45549</v>
      </c>
      <c r="B259" s="3" t="s">
        <v>8</v>
      </c>
      <c r="C259" s="3" t="s">
        <v>9</v>
      </c>
      <c r="D259" s="3" t="s">
        <v>14</v>
      </c>
      <c r="E259" s="3" t="str">
        <f>VLOOKUP(Table1[[#This Row],[Product]],Master!A:C,2,FALSE)</f>
        <v>Office</v>
      </c>
      <c r="F259" s="3">
        <f>VLOOKUP(Table1[[#This Row],[Product]],Master!A:C,3,FALSE)</f>
        <v>15000</v>
      </c>
      <c r="G259" s="3">
        <v>9</v>
      </c>
      <c r="H259" s="3">
        <v>135000</v>
      </c>
      <c r="I259" s="3">
        <v>121932</v>
      </c>
      <c r="J259" s="3" t="str">
        <f>TEXT(Table1[[#This Row],[Date]],"mmm")</f>
        <v>Sep</v>
      </c>
      <c r="K259" s="3">
        <f>YEAR(Table1[[#This Row],[Date]])</f>
        <v>2024</v>
      </c>
      <c r="L259" s="6">
        <f>Table1[[#This Row],[Revenue]]/Table1[[#This Row],[Target]]</f>
        <v>1.1071744906997343</v>
      </c>
      <c r="M259" s="3" t="str">
        <f>IF(Table1[[#This Row],[Achieved %]]&gt;1,"▲","▼")</f>
        <v>▲</v>
      </c>
    </row>
    <row r="260" spans="1:13" x14ac:dyDescent="0.25">
      <c r="A260" s="5">
        <v>45550</v>
      </c>
      <c r="B260" s="3" t="s">
        <v>16</v>
      </c>
      <c r="C260" s="3" t="s">
        <v>20</v>
      </c>
      <c r="D260" s="3" t="s">
        <v>10</v>
      </c>
      <c r="E260" s="3" t="str">
        <f>VLOOKUP(Table1[[#This Row],[Product]],Master!A:C,2,FALSE)</f>
        <v>Electronics</v>
      </c>
      <c r="F260" s="3">
        <f>VLOOKUP(Table1[[#This Row],[Product]],Master!A:C,3,FALSE)</f>
        <v>50000</v>
      </c>
      <c r="G260" s="3">
        <v>7</v>
      </c>
      <c r="H260" s="3">
        <v>350000</v>
      </c>
      <c r="I260" s="3">
        <v>353498</v>
      </c>
      <c r="J260" s="3" t="str">
        <f>TEXT(Table1[[#This Row],[Date]],"mmm")</f>
        <v>Sep</v>
      </c>
      <c r="K260" s="3">
        <f>YEAR(Table1[[#This Row],[Date]])</f>
        <v>2024</v>
      </c>
      <c r="L260" s="6">
        <f>Table1[[#This Row],[Revenue]]/Table1[[#This Row],[Target]]</f>
        <v>0.99010461162439389</v>
      </c>
      <c r="M260" s="3" t="str">
        <f>IF(Table1[[#This Row],[Achieved %]]&gt;1,"▲","▼")</f>
        <v>▼</v>
      </c>
    </row>
    <row r="261" spans="1:13" x14ac:dyDescent="0.25">
      <c r="A261" s="5">
        <v>45551</v>
      </c>
      <c r="B261" s="3" t="s">
        <v>12</v>
      </c>
      <c r="C261" s="3" t="s">
        <v>19</v>
      </c>
      <c r="D261" s="3" t="s">
        <v>10</v>
      </c>
      <c r="E261" s="3" t="str">
        <f>VLOOKUP(Table1[[#This Row],[Product]],Master!A:C,2,FALSE)</f>
        <v>Electronics</v>
      </c>
      <c r="F261" s="3">
        <f>VLOOKUP(Table1[[#This Row],[Product]],Master!A:C,3,FALSE)</f>
        <v>50000</v>
      </c>
      <c r="G261" s="3">
        <v>5</v>
      </c>
      <c r="H261" s="3">
        <v>250000</v>
      </c>
      <c r="I261" s="3">
        <v>264227</v>
      </c>
      <c r="J261" s="3" t="str">
        <f>TEXT(Table1[[#This Row],[Date]],"mmm")</f>
        <v>Sep</v>
      </c>
      <c r="K261" s="3">
        <f>YEAR(Table1[[#This Row],[Date]])</f>
        <v>2024</v>
      </c>
      <c r="L261" s="6">
        <f>Table1[[#This Row],[Revenue]]/Table1[[#This Row],[Target]]</f>
        <v>0.94615614604109344</v>
      </c>
      <c r="M261" s="3" t="str">
        <f>IF(Table1[[#This Row],[Achieved %]]&gt;1,"▲","▼")</f>
        <v>▼</v>
      </c>
    </row>
    <row r="262" spans="1:13" x14ac:dyDescent="0.25">
      <c r="A262" s="5">
        <v>45552</v>
      </c>
      <c r="B262" s="3" t="s">
        <v>18</v>
      </c>
      <c r="C262" s="3" t="s">
        <v>20</v>
      </c>
      <c r="D262" s="3" t="s">
        <v>21</v>
      </c>
      <c r="E262" s="3" t="str">
        <f>VLOOKUP(Table1[[#This Row],[Product]],Master!A:C,2,FALSE)</f>
        <v>Electronics</v>
      </c>
      <c r="F262" s="3">
        <f>VLOOKUP(Table1[[#This Row],[Product]],Master!A:C,3,FALSE)</f>
        <v>30000</v>
      </c>
      <c r="G262" s="3">
        <v>8</v>
      </c>
      <c r="H262" s="3">
        <v>240000</v>
      </c>
      <c r="I262" s="3">
        <v>227128</v>
      </c>
      <c r="J262" s="3" t="str">
        <f>TEXT(Table1[[#This Row],[Date]],"mmm")</f>
        <v>Sep</v>
      </c>
      <c r="K262" s="3">
        <f>YEAR(Table1[[#This Row],[Date]])</f>
        <v>2024</v>
      </c>
      <c r="L262" s="6">
        <f>Table1[[#This Row],[Revenue]]/Table1[[#This Row],[Target]]</f>
        <v>1.0566728892959036</v>
      </c>
      <c r="M262" s="3" t="str">
        <f>IF(Table1[[#This Row],[Achieved %]]&gt;1,"▲","▼")</f>
        <v>▲</v>
      </c>
    </row>
    <row r="263" spans="1:13" x14ac:dyDescent="0.25">
      <c r="A263" s="5">
        <v>45553</v>
      </c>
      <c r="B263" s="3" t="s">
        <v>8</v>
      </c>
      <c r="C263" s="3" t="s">
        <v>20</v>
      </c>
      <c r="D263" s="3" t="s">
        <v>14</v>
      </c>
      <c r="E263" s="3" t="str">
        <f>VLOOKUP(Table1[[#This Row],[Product]],Master!A:C,2,FALSE)</f>
        <v>Office</v>
      </c>
      <c r="F263" s="3">
        <f>VLOOKUP(Table1[[#This Row],[Product]],Master!A:C,3,FALSE)</f>
        <v>15000</v>
      </c>
      <c r="G263" s="3">
        <v>8</v>
      </c>
      <c r="H263" s="3">
        <v>120000</v>
      </c>
      <c r="I263" s="3">
        <v>106117</v>
      </c>
      <c r="J263" s="3" t="str">
        <f>TEXT(Table1[[#This Row],[Date]],"mmm")</f>
        <v>Sep</v>
      </c>
      <c r="K263" s="3">
        <f>YEAR(Table1[[#This Row],[Date]])</f>
        <v>2024</v>
      </c>
      <c r="L263" s="6">
        <f>Table1[[#This Row],[Revenue]]/Table1[[#This Row],[Target]]</f>
        <v>1.1308272944014626</v>
      </c>
      <c r="M263" s="3" t="str">
        <f>IF(Table1[[#This Row],[Achieved %]]&gt;1,"▲","▼")</f>
        <v>▲</v>
      </c>
    </row>
    <row r="264" spans="1:13" x14ac:dyDescent="0.25">
      <c r="A264" s="5">
        <v>45554</v>
      </c>
      <c r="B264" s="3" t="s">
        <v>18</v>
      </c>
      <c r="C264" s="3" t="s">
        <v>22</v>
      </c>
      <c r="D264" s="3" t="s">
        <v>14</v>
      </c>
      <c r="E264" s="3" t="str">
        <f>VLOOKUP(Table1[[#This Row],[Product]],Master!A:C,2,FALSE)</f>
        <v>Office</v>
      </c>
      <c r="F264" s="3">
        <f>VLOOKUP(Table1[[#This Row],[Product]],Master!A:C,3,FALSE)</f>
        <v>15000</v>
      </c>
      <c r="G264" s="3">
        <v>9</v>
      </c>
      <c r="H264" s="3">
        <v>135000</v>
      </c>
      <c r="I264" s="3">
        <v>127448</v>
      </c>
      <c r="J264" s="3" t="str">
        <f>TEXT(Table1[[#This Row],[Date]],"mmm")</f>
        <v>Sep</v>
      </c>
      <c r="K264" s="3">
        <f>YEAR(Table1[[#This Row],[Date]])</f>
        <v>2024</v>
      </c>
      <c r="L264" s="6">
        <f>Table1[[#This Row],[Revenue]]/Table1[[#This Row],[Target]]</f>
        <v>1.0592555395141547</v>
      </c>
      <c r="M264" s="3" t="str">
        <f>IF(Table1[[#This Row],[Achieved %]]&gt;1,"▲","▼")</f>
        <v>▲</v>
      </c>
    </row>
    <row r="265" spans="1:13" x14ac:dyDescent="0.25">
      <c r="A265" s="5">
        <v>45555</v>
      </c>
      <c r="B265" s="3" t="s">
        <v>18</v>
      </c>
      <c r="C265" s="3" t="s">
        <v>22</v>
      </c>
      <c r="D265" s="3" t="s">
        <v>10</v>
      </c>
      <c r="E265" s="3" t="str">
        <f>VLOOKUP(Table1[[#This Row],[Product]],Master!A:C,2,FALSE)</f>
        <v>Electronics</v>
      </c>
      <c r="F265" s="3">
        <f>VLOOKUP(Table1[[#This Row],[Product]],Master!A:C,3,FALSE)</f>
        <v>50000</v>
      </c>
      <c r="G265" s="3">
        <v>5</v>
      </c>
      <c r="H265" s="3">
        <v>250000</v>
      </c>
      <c r="I265" s="3">
        <v>244314</v>
      </c>
      <c r="J265" s="3" t="str">
        <f>TEXT(Table1[[#This Row],[Date]],"mmm")</f>
        <v>Sep</v>
      </c>
      <c r="K265" s="3">
        <f>YEAR(Table1[[#This Row],[Date]])</f>
        <v>2024</v>
      </c>
      <c r="L265" s="6">
        <f>Table1[[#This Row],[Revenue]]/Table1[[#This Row],[Target]]</f>
        <v>1.023273328585345</v>
      </c>
      <c r="M265" s="3" t="str">
        <f>IF(Table1[[#This Row],[Achieved %]]&gt;1,"▲","▼")</f>
        <v>▲</v>
      </c>
    </row>
    <row r="266" spans="1:13" x14ac:dyDescent="0.25">
      <c r="A266" s="5">
        <v>45556</v>
      </c>
      <c r="B266" s="3" t="s">
        <v>12</v>
      </c>
      <c r="C266" s="3" t="s">
        <v>22</v>
      </c>
      <c r="D266" s="3" t="s">
        <v>21</v>
      </c>
      <c r="E266" s="3" t="str">
        <f>VLOOKUP(Table1[[#This Row],[Product]],Master!A:C,2,FALSE)</f>
        <v>Electronics</v>
      </c>
      <c r="F266" s="3">
        <f>VLOOKUP(Table1[[#This Row],[Product]],Master!A:C,3,FALSE)</f>
        <v>30000</v>
      </c>
      <c r="G266" s="3">
        <v>9</v>
      </c>
      <c r="H266" s="3">
        <v>270000</v>
      </c>
      <c r="I266" s="3">
        <v>257392</v>
      </c>
      <c r="J266" s="3" t="str">
        <f>TEXT(Table1[[#This Row],[Date]],"mmm")</f>
        <v>Sep</v>
      </c>
      <c r="K266" s="3">
        <f>YEAR(Table1[[#This Row],[Date]])</f>
        <v>2024</v>
      </c>
      <c r="L266" s="6">
        <f>Table1[[#This Row],[Revenue]]/Table1[[#This Row],[Target]]</f>
        <v>1.0489836513955368</v>
      </c>
      <c r="M266" s="3" t="str">
        <f>IF(Table1[[#This Row],[Achieved %]]&gt;1,"▲","▼")</f>
        <v>▲</v>
      </c>
    </row>
    <row r="267" spans="1:13" x14ac:dyDescent="0.25">
      <c r="A267" s="5">
        <v>45557</v>
      </c>
      <c r="B267" s="3" t="s">
        <v>8</v>
      </c>
      <c r="C267" s="3" t="s">
        <v>20</v>
      </c>
      <c r="D267" s="3" t="s">
        <v>14</v>
      </c>
      <c r="E267" s="3" t="str">
        <f>VLOOKUP(Table1[[#This Row],[Product]],Master!A:C,2,FALSE)</f>
        <v>Office</v>
      </c>
      <c r="F267" s="3">
        <f>VLOOKUP(Table1[[#This Row],[Product]],Master!A:C,3,FALSE)</f>
        <v>15000</v>
      </c>
      <c r="G267" s="3">
        <v>4</v>
      </c>
      <c r="H267" s="3">
        <v>60000</v>
      </c>
      <c r="I267" s="3">
        <v>45239</v>
      </c>
      <c r="J267" s="3" t="str">
        <f>TEXT(Table1[[#This Row],[Date]],"mmm")</f>
        <v>Sep</v>
      </c>
      <c r="K267" s="3">
        <f>YEAR(Table1[[#This Row],[Date]])</f>
        <v>2024</v>
      </c>
      <c r="L267" s="6">
        <f>Table1[[#This Row],[Revenue]]/Table1[[#This Row],[Target]]</f>
        <v>1.3262892636884105</v>
      </c>
      <c r="M267" s="3" t="str">
        <f>IF(Table1[[#This Row],[Achieved %]]&gt;1,"▲","▼")</f>
        <v>▲</v>
      </c>
    </row>
    <row r="268" spans="1:13" x14ac:dyDescent="0.25">
      <c r="A268" s="5">
        <v>45558</v>
      </c>
      <c r="B268" s="3" t="s">
        <v>8</v>
      </c>
      <c r="C268" s="3" t="s">
        <v>19</v>
      </c>
      <c r="D268" s="3" t="s">
        <v>14</v>
      </c>
      <c r="E268" s="3" t="str">
        <f>VLOOKUP(Table1[[#This Row],[Product]],Master!A:C,2,FALSE)</f>
        <v>Office</v>
      </c>
      <c r="F268" s="3">
        <f>VLOOKUP(Table1[[#This Row],[Product]],Master!A:C,3,FALSE)</f>
        <v>15000</v>
      </c>
      <c r="G268" s="3">
        <v>3</v>
      </c>
      <c r="H268" s="3">
        <v>45000</v>
      </c>
      <c r="I268" s="3">
        <v>38649</v>
      </c>
      <c r="J268" s="3" t="str">
        <f>TEXT(Table1[[#This Row],[Date]],"mmm")</f>
        <v>Sep</v>
      </c>
      <c r="K268" s="3">
        <f>YEAR(Table1[[#This Row],[Date]])</f>
        <v>2024</v>
      </c>
      <c r="L268" s="6">
        <f>Table1[[#This Row],[Revenue]]/Table1[[#This Row],[Target]]</f>
        <v>1.1643250795622138</v>
      </c>
      <c r="M268" s="3" t="str">
        <f>IF(Table1[[#This Row],[Achieved %]]&gt;1,"▲","▼")</f>
        <v>▲</v>
      </c>
    </row>
    <row r="269" spans="1:13" x14ac:dyDescent="0.25">
      <c r="A269" s="5">
        <v>45559</v>
      </c>
      <c r="B269" s="3" t="s">
        <v>16</v>
      </c>
      <c r="C269" s="3" t="s">
        <v>9</v>
      </c>
      <c r="D269" s="3" t="s">
        <v>17</v>
      </c>
      <c r="E269" s="3" t="str">
        <f>VLOOKUP(Table1[[#This Row],[Product]],Master!A:C,2,FALSE)</f>
        <v>Electronics</v>
      </c>
      <c r="F269" s="3">
        <f>VLOOKUP(Table1[[#This Row],[Product]],Master!A:C,3,FALSE)</f>
        <v>20000</v>
      </c>
      <c r="G269" s="3">
        <v>1</v>
      </c>
      <c r="H269" s="3">
        <v>20000</v>
      </c>
      <c r="I269" s="3">
        <v>21893</v>
      </c>
      <c r="J269" s="3" t="str">
        <f>TEXT(Table1[[#This Row],[Date]],"mmm")</f>
        <v>Sep</v>
      </c>
      <c r="K269" s="3">
        <f>YEAR(Table1[[#This Row],[Date]])</f>
        <v>2024</v>
      </c>
      <c r="L269" s="6">
        <f>Table1[[#This Row],[Revenue]]/Table1[[#This Row],[Target]]</f>
        <v>0.91353400630338466</v>
      </c>
      <c r="M269" s="3" t="str">
        <f>IF(Table1[[#This Row],[Achieved %]]&gt;1,"▲","▼")</f>
        <v>▼</v>
      </c>
    </row>
    <row r="270" spans="1:13" x14ac:dyDescent="0.25">
      <c r="A270" s="5">
        <v>45560</v>
      </c>
      <c r="B270" s="3" t="s">
        <v>16</v>
      </c>
      <c r="C270" s="3" t="s">
        <v>22</v>
      </c>
      <c r="D270" s="3" t="s">
        <v>17</v>
      </c>
      <c r="E270" s="3" t="str">
        <f>VLOOKUP(Table1[[#This Row],[Product]],Master!A:C,2,FALSE)</f>
        <v>Electronics</v>
      </c>
      <c r="F270" s="3">
        <f>VLOOKUP(Table1[[#This Row],[Product]],Master!A:C,3,FALSE)</f>
        <v>20000</v>
      </c>
      <c r="G270" s="3">
        <v>3</v>
      </c>
      <c r="H270" s="3">
        <v>60000</v>
      </c>
      <c r="I270" s="3">
        <v>67892</v>
      </c>
      <c r="J270" s="3" t="str">
        <f>TEXT(Table1[[#This Row],[Date]],"mmm")</f>
        <v>Sep</v>
      </c>
      <c r="K270" s="3">
        <f>YEAR(Table1[[#This Row],[Date]])</f>
        <v>2024</v>
      </c>
      <c r="L270" s="6">
        <f>Table1[[#This Row],[Revenue]]/Table1[[#This Row],[Target]]</f>
        <v>0.88375655452777946</v>
      </c>
      <c r="M270" s="3" t="str">
        <f>IF(Table1[[#This Row],[Achieved %]]&gt;1,"▲","▼")</f>
        <v>▼</v>
      </c>
    </row>
    <row r="271" spans="1:13" x14ac:dyDescent="0.25">
      <c r="A271" s="5">
        <v>45561</v>
      </c>
      <c r="B271" s="3" t="s">
        <v>12</v>
      </c>
      <c r="C271" s="3" t="s">
        <v>9</v>
      </c>
      <c r="D271" s="3" t="s">
        <v>17</v>
      </c>
      <c r="E271" s="3" t="str">
        <f>VLOOKUP(Table1[[#This Row],[Product]],Master!A:C,2,FALSE)</f>
        <v>Electronics</v>
      </c>
      <c r="F271" s="3">
        <f>VLOOKUP(Table1[[#This Row],[Product]],Master!A:C,3,FALSE)</f>
        <v>20000</v>
      </c>
      <c r="G271" s="3">
        <v>9</v>
      </c>
      <c r="H271" s="3">
        <v>180000</v>
      </c>
      <c r="I271" s="3">
        <v>165884</v>
      </c>
      <c r="J271" s="3" t="str">
        <f>TEXT(Table1[[#This Row],[Date]],"mmm")</f>
        <v>Sep</v>
      </c>
      <c r="K271" s="3">
        <f>YEAR(Table1[[#This Row],[Date]])</f>
        <v>2024</v>
      </c>
      <c r="L271" s="6">
        <f>Table1[[#This Row],[Revenue]]/Table1[[#This Row],[Target]]</f>
        <v>1.085095608979769</v>
      </c>
      <c r="M271" s="3" t="str">
        <f>IF(Table1[[#This Row],[Achieved %]]&gt;1,"▲","▼")</f>
        <v>▲</v>
      </c>
    </row>
    <row r="272" spans="1:13" x14ac:dyDescent="0.25">
      <c r="A272" s="5">
        <v>45562</v>
      </c>
      <c r="B272" s="3" t="s">
        <v>16</v>
      </c>
      <c r="C272" s="3" t="s">
        <v>9</v>
      </c>
      <c r="D272" s="3" t="s">
        <v>21</v>
      </c>
      <c r="E272" s="3" t="str">
        <f>VLOOKUP(Table1[[#This Row],[Product]],Master!A:C,2,FALSE)</f>
        <v>Electronics</v>
      </c>
      <c r="F272" s="3">
        <f>VLOOKUP(Table1[[#This Row],[Product]],Master!A:C,3,FALSE)</f>
        <v>30000</v>
      </c>
      <c r="G272" s="3">
        <v>4</v>
      </c>
      <c r="H272" s="3">
        <v>120000</v>
      </c>
      <c r="I272" s="3">
        <v>121603</v>
      </c>
      <c r="J272" s="3" t="str">
        <f>TEXT(Table1[[#This Row],[Date]],"mmm")</f>
        <v>Sep</v>
      </c>
      <c r="K272" s="3">
        <f>YEAR(Table1[[#This Row],[Date]])</f>
        <v>2024</v>
      </c>
      <c r="L272" s="6">
        <f>Table1[[#This Row],[Revenue]]/Table1[[#This Row],[Target]]</f>
        <v>0.98681775943027716</v>
      </c>
      <c r="M272" s="3" t="str">
        <f>IF(Table1[[#This Row],[Achieved %]]&gt;1,"▲","▼")</f>
        <v>▼</v>
      </c>
    </row>
    <row r="273" spans="1:13" x14ac:dyDescent="0.25">
      <c r="A273" s="5">
        <v>45563</v>
      </c>
      <c r="B273" s="3" t="s">
        <v>16</v>
      </c>
      <c r="C273" s="3" t="s">
        <v>9</v>
      </c>
      <c r="D273" s="3" t="s">
        <v>14</v>
      </c>
      <c r="E273" s="3" t="str">
        <f>VLOOKUP(Table1[[#This Row],[Product]],Master!A:C,2,FALSE)</f>
        <v>Office</v>
      </c>
      <c r="F273" s="3">
        <f>VLOOKUP(Table1[[#This Row],[Product]],Master!A:C,3,FALSE)</f>
        <v>15000</v>
      </c>
      <c r="G273" s="3">
        <v>8</v>
      </c>
      <c r="H273" s="3">
        <v>120000</v>
      </c>
      <c r="I273" s="3">
        <v>127137</v>
      </c>
      <c r="J273" s="3" t="str">
        <f>TEXT(Table1[[#This Row],[Date]],"mmm")</f>
        <v>Sep</v>
      </c>
      <c r="K273" s="3">
        <f>YEAR(Table1[[#This Row],[Date]])</f>
        <v>2024</v>
      </c>
      <c r="L273" s="6">
        <f>Table1[[#This Row],[Revenue]]/Table1[[#This Row],[Target]]</f>
        <v>0.94386370608084191</v>
      </c>
      <c r="M273" s="3" t="str">
        <f>IF(Table1[[#This Row],[Achieved %]]&gt;1,"▲","▼")</f>
        <v>▼</v>
      </c>
    </row>
    <row r="274" spans="1:13" x14ac:dyDescent="0.25">
      <c r="A274" s="5">
        <v>45564</v>
      </c>
      <c r="B274" s="3" t="s">
        <v>18</v>
      </c>
      <c r="C274" s="3" t="s">
        <v>19</v>
      </c>
      <c r="D274" s="3" t="s">
        <v>10</v>
      </c>
      <c r="E274" s="3" t="str">
        <f>VLOOKUP(Table1[[#This Row],[Product]],Master!A:C,2,FALSE)</f>
        <v>Electronics</v>
      </c>
      <c r="F274" s="3">
        <f>VLOOKUP(Table1[[#This Row],[Product]],Master!A:C,3,FALSE)</f>
        <v>50000</v>
      </c>
      <c r="G274" s="3">
        <v>3</v>
      </c>
      <c r="H274" s="3">
        <v>150000</v>
      </c>
      <c r="I274" s="3">
        <v>131435</v>
      </c>
      <c r="J274" s="3" t="str">
        <f>TEXT(Table1[[#This Row],[Date]],"mmm")</f>
        <v>Sep</v>
      </c>
      <c r="K274" s="3">
        <f>YEAR(Table1[[#This Row],[Date]])</f>
        <v>2024</v>
      </c>
      <c r="L274" s="6">
        <f>Table1[[#This Row],[Revenue]]/Table1[[#This Row],[Target]]</f>
        <v>1.1412485258873206</v>
      </c>
      <c r="M274" s="3" t="str">
        <f>IF(Table1[[#This Row],[Achieved %]]&gt;1,"▲","▼")</f>
        <v>▲</v>
      </c>
    </row>
    <row r="275" spans="1:13" x14ac:dyDescent="0.25">
      <c r="A275" s="5">
        <v>45565</v>
      </c>
      <c r="B275" s="3" t="s">
        <v>18</v>
      </c>
      <c r="C275" s="3" t="s">
        <v>13</v>
      </c>
      <c r="D275" s="3" t="s">
        <v>14</v>
      </c>
      <c r="E275" s="3" t="str">
        <f>VLOOKUP(Table1[[#This Row],[Product]],Master!A:C,2,FALSE)</f>
        <v>Office</v>
      </c>
      <c r="F275" s="3">
        <f>VLOOKUP(Table1[[#This Row],[Product]],Master!A:C,3,FALSE)</f>
        <v>15000</v>
      </c>
      <c r="G275" s="3">
        <v>3</v>
      </c>
      <c r="H275" s="3">
        <v>45000</v>
      </c>
      <c r="I275" s="3">
        <v>42709</v>
      </c>
      <c r="J275" s="3" t="str">
        <f>TEXT(Table1[[#This Row],[Date]],"mmm")</f>
        <v>Sep</v>
      </c>
      <c r="K275" s="3">
        <f>YEAR(Table1[[#This Row],[Date]])</f>
        <v>2024</v>
      </c>
      <c r="L275" s="6">
        <f>Table1[[#This Row],[Revenue]]/Table1[[#This Row],[Target]]</f>
        <v>1.0536420894893348</v>
      </c>
      <c r="M275" s="3" t="str">
        <f>IF(Table1[[#This Row],[Achieved %]]&gt;1,"▲","▼")</f>
        <v>▲</v>
      </c>
    </row>
    <row r="276" spans="1:13" x14ac:dyDescent="0.25">
      <c r="A276" s="5">
        <v>45566</v>
      </c>
      <c r="B276" s="3" t="s">
        <v>18</v>
      </c>
      <c r="C276" s="3" t="s">
        <v>22</v>
      </c>
      <c r="D276" s="3" t="s">
        <v>10</v>
      </c>
      <c r="E276" s="3" t="str">
        <f>VLOOKUP(Table1[[#This Row],[Product]],Master!A:C,2,FALSE)</f>
        <v>Electronics</v>
      </c>
      <c r="F276" s="3">
        <f>VLOOKUP(Table1[[#This Row],[Product]],Master!A:C,3,FALSE)</f>
        <v>50000</v>
      </c>
      <c r="G276" s="3">
        <v>4</v>
      </c>
      <c r="H276" s="3">
        <v>200000</v>
      </c>
      <c r="I276" s="3">
        <v>186720</v>
      </c>
      <c r="J276" s="3" t="str">
        <f>TEXT(Table1[[#This Row],[Date]],"mmm")</f>
        <v>Oct</v>
      </c>
      <c r="K276" s="3">
        <f>YEAR(Table1[[#This Row],[Date]])</f>
        <v>2024</v>
      </c>
      <c r="L276" s="6">
        <f>Table1[[#This Row],[Revenue]]/Table1[[#This Row],[Target]]</f>
        <v>1.0711225364181662</v>
      </c>
      <c r="M276" s="3" t="str">
        <f>IF(Table1[[#This Row],[Achieved %]]&gt;1,"▲","▼")</f>
        <v>▲</v>
      </c>
    </row>
    <row r="277" spans="1:13" x14ac:dyDescent="0.25">
      <c r="A277" s="5">
        <v>45567</v>
      </c>
      <c r="B277" s="3" t="s">
        <v>16</v>
      </c>
      <c r="C277" s="3" t="s">
        <v>13</v>
      </c>
      <c r="D277" s="3" t="s">
        <v>10</v>
      </c>
      <c r="E277" s="3" t="str">
        <f>VLOOKUP(Table1[[#This Row],[Product]],Master!A:C,2,FALSE)</f>
        <v>Electronics</v>
      </c>
      <c r="F277" s="3">
        <f>VLOOKUP(Table1[[#This Row],[Product]],Master!A:C,3,FALSE)</f>
        <v>50000</v>
      </c>
      <c r="G277" s="3">
        <v>3</v>
      </c>
      <c r="H277" s="3">
        <v>150000</v>
      </c>
      <c r="I277" s="3">
        <v>159547</v>
      </c>
      <c r="J277" s="3" t="str">
        <f>TEXT(Table1[[#This Row],[Date]],"mmm")</f>
        <v>Oct</v>
      </c>
      <c r="K277" s="3">
        <f>YEAR(Table1[[#This Row],[Date]])</f>
        <v>2024</v>
      </c>
      <c r="L277" s="6">
        <f>Table1[[#This Row],[Revenue]]/Table1[[#This Row],[Target]]</f>
        <v>0.94016183319021984</v>
      </c>
      <c r="M277" s="3" t="str">
        <f>IF(Table1[[#This Row],[Achieved %]]&gt;1,"▲","▼")</f>
        <v>▼</v>
      </c>
    </row>
    <row r="278" spans="1:13" x14ac:dyDescent="0.25">
      <c r="A278" s="5">
        <v>45568</v>
      </c>
      <c r="B278" s="3" t="s">
        <v>8</v>
      </c>
      <c r="C278" s="3" t="s">
        <v>22</v>
      </c>
      <c r="D278" s="3" t="s">
        <v>21</v>
      </c>
      <c r="E278" s="3" t="str">
        <f>VLOOKUP(Table1[[#This Row],[Product]],Master!A:C,2,FALSE)</f>
        <v>Electronics</v>
      </c>
      <c r="F278" s="3">
        <f>VLOOKUP(Table1[[#This Row],[Product]],Master!A:C,3,FALSE)</f>
        <v>30000</v>
      </c>
      <c r="G278" s="3">
        <v>8</v>
      </c>
      <c r="H278" s="3">
        <v>240000</v>
      </c>
      <c r="I278" s="3">
        <v>255019</v>
      </c>
      <c r="J278" s="3" t="str">
        <f>TEXT(Table1[[#This Row],[Date]],"mmm")</f>
        <v>Oct</v>
      </c>
      <c r="K278" s="3">
        <f>YEAR(Table1[[#This Row],[Date]])</f>
        <v>2024</v>
      </c>
      <c r="L278" s="6">
        <f>Table1[[#This Row],[Revenue]]/Table1[[#This Row],[Target]]</f>
        <v>0.94110634893870648</v>
      </c>
      <c r="M278" s="3" t="str">
        <f>IF(Table1[[#This Row],[Achieved %]]&gt;1,"▲","▼")</f>
        <v>▼</v>
      </c>
    </row>
    <row r="279" spans="1:13" x14ac:dyDescent="0.25">
      <c r="A279" s="5">
        <v>45569</v>
      </c>
      <c r="B279" s="3" t="s">
        <v>12</v>
      </c>
      <c r="C279" s="3" t="s">
        <v>20</v>
      </c>
      <c r="D279" s="3" t="s">
        <v>21</v>
      </c>
      <c r="E279" s="3" t="str">
        <f>VLOOKUP(Table1[[#This Row],[Product]],Master!A:C,2,FALSE)</f>
        <v>Electronics</v>
      </c>
      <c r="F279" s="3">
        <f>VLOOKUP(Table1[[#This Row],[Product]],Master!A:C,3,FALSE)</f>
        <v>30000</v>
      </c>
      <c r="G279" s="3">
        <v>2</v>
      </c>
      <c r="H279" s="3">
        <v>60000</v>
      </c>
      <c r="I279" s="3">
        <v>42512</v>
      </c>
      <c r="J279" s="3" t="str">
        <f>TEXT(Table1[[#This Row],[Date]],"mmm")</f>
        <v>Oct</v>
      </c>
      <c r="K279" s="3">
        <f>YEAR(Table1[[#This Row],[Date]])</f>
        <v>2024</v>
      </c>
      <c r="L279" s="6">
        <f>Table1[[#This Row],[Revenue]]/Table1[[#This Row],[Target]]</f>
        <v>1.4113662024840046</v>
      </c>
      <c r="M279" s="3" t="str">
        <f>IF(Table1[[#This Row],[Achieved %]]&gt;1,"▲","▼")</f>
        <v>▲</v>
      </c>
    </row>
    <row r="280" spans="1:13" x14ac:dyDescent="0.25">
      <c r="A280" s="5">
        <v>45570</v>
      </c>
      <c r="B280" s="3" t="s">
        <v>8</v>
      </c>
      <c r="C280" s="3" t="s">
        <v>9</v>
      </c>
      <c r="D280" s="3" t="s">
        <v>21</v>
      </c>
      <c r="E280" s="3" t="str">
        <f>VLOOKUP(Table1[[#This Row],[Product]],Master!A:C,2,FALSE)</f>
        <v>Electronics</v>
      </c>
      <c r="F280" s="3">
        <f>VLOOKUP(Table1[[#This Row],[Product]],Master!A:C,3,FALSE)</f>
        <v>30000</v>
      </c>
      <c r="G280" s="3">
        <v>6</v>
      </c>
      <c r="H280" s="3">
        <v>180000</v>
      </c>
      <c r="I280" s="3">
        <v>189807</v>
      </c>
      <c r="J280" s="3" t="str">
        <f>TEXT(Table1[[#This Row],[Date]],"mmm")</f>
        <v>Oct</v>
      </c>
      <c r="K280" s="3">
        <f>YEAR(Table1[[#This Row],[Date]])</f>
        <v>2024</v>
      </c>
      <c r="L280" s="6">
        <f>Table1[[#This Row],[Revenue]]/Table1[[#This Row],[Target]]</f>
        <v>0.94833172643790797</v>
      </c>
      <c r="M280" s="3" t="str">
        <f>IF(Table1[[#This Row],[Achieved %]]&gt;1,"▲","▼")</f>
        <v>▼</v>
      </c>
    </row>
    <row r="281" spans="1:13" x14ac:dyDescent="0.25">
      <c r="A281" s="5">
        <v>45571</v>
      </c>
      <c r="B281" s="3" t="s">
        <v>8</v>
      </c>
      <c r="C281" s="3" t="s">
        <v>22</v>
      </c>
      <c r="D281" s="3" t="s">
        <v>21</v>
      </c>
      <c r="E281" s="3" t="str">
        <f>VLOOKUP(Table1[[#This Row],[Product]],Master!A:C,2,FALSE)</f>
        <v>Electronics</v>
      </c>
      <c r="F281" s="3">
        <f>VLOOKUP(Table1[[#This Row],[Product]],Master!A:C,3,FALSE)</f>
        <v>30000</v>
      </c>
      <c r="G281" s="3">
        <v>3</v>
      </c>
      <c r="H281" s="3">
        <v>90000</v>
      </c>
      <c r="I281" s="3">
        <v>90855</v>
      </c>
      <c r="J281" s="3" t="str">
        <f>TEXT(Table1[[#This Row],[Date]],"mmm")</f>
        <v>Oct</v>
      </c>
      <c r="K281" s="3">
        <f>YEAR(Table1[[#This Row],[Date]])</f>
        <v>2024</v>
      </c>
      <c r="L281" s="6">
        <f>Table1[[#This Row],[Revenue]]/Table1[[#This Row],[Target]]</f>
        <v>0.99058940069341261</v>
      </c>
      <c r="M281" s="3" t="str">
        <f>IF(Table1[[#This Row],[Achieved %]]&gt;1,"▲","▼")</f>
        <v>▼</v>
      </c>
    </row>
    <row r="282" spans="1:13" x14ac:dyDescent="0.25">
      <c r="A282" s="5">
        <v>45572</v>
      </c>
      <c r="B282" s="3" t="s">
        <v>18</v>
      </c>
      <c r="C282" s="3" t="s">
        <v>9</v>
      </c>
      <c r="D282" s="3" t="s">
        <v>17</v>
      </c>
      <c r="E282" s="3" t="str">
        <f>VLOOKUP(Table1[[#This Row],[Product]],Master!A:C,2,FALSE)</f>
        <v>Electronics</v>
      </c>
      <c r="F282" s="3">
        <f>VLOOKUP(Table1[[#This Row],[Product]],Master!A:C,3,FALSE)</f>
        <v>20000</v>
      </c>
      <c r="G282" s="3">
        <v>4</v>
      </c>
      <c r="H282" s="3">
        <v>80000</v>
      </c>
      <c r="I282" s="3">
        <v>79169</v>
      </c>
      <c r="J282" s="3" t="str">
        <f>TEXT(Table1[[#This Row],[Date]],"mmm")</f>
        <v>Oct</v>
      </c>
      <c r="K282" s="3">
        <f>YEAR(Table1[[#This Row],[Date]])</f>
        <v>2024</v>
      </c>
      <c r="L282" s="6">
        <f>Table1[[#This Row],[Revenue]]/Table1[[#This Row],[Target]]</f>
        <v>1.010496532733772</v>
      </c>
      <c r="M282" s="3" t="str">
        <f>IF(Table1[[#This Row],[Achieved %]]&gt;1,"▲","▼")</f>
        <v>▲</v>
      </c>
    </row>
    <row r="283" spans="1:13" x14ac:dyDescent="0.25">
      <c r="A283" s="5">
        <v>45573</v>
      </c>
      <c r="B283" s="3" t="s">
        <v>12</v>
      </c>
      <c r="C283" s="3" t="s">
        <v>19</v>
      </c>
      <c r="D283" s="3" t="s">
        <v>10</v>
      </c>
      <c r="E283" s="3" t="str">
        <f>VLOOKUP(Table1[[#This Row],[Product]],Master!A:C,2,FALSE)</f>
        <v>Electronics</v>
      </c>
      <c r="F283" s="3">
        <f>VLOOKUP(Table1[[#This Row],[Product]],Master!A:C,3,FALSE)</f>
        <v>50000</v>
      </c>
      <c r="G283" s="3">
        <v>9</v>
      </c>
      <c r="H283" s="3">
        <v>450000</v>
      </c>
      <c r="I283" s="3">
        <v>437640</v>
      </c>
      <c r="J283" s="3" t="str">
        <f>TEXT(Table1[[#This Row],[Date]],"mmm")</f>
        <v>Oct</v>
      </c>
      <c r="K283" s="3">
        <f>YEAR(Table1[[#This Row],[Date]])</f>
        <v>2024</v>
      </c>
      <c r="L283" s="6">
        <f>Table1[[#This Row],[Revenue]]/Table1[[#This Row],[Target]]</f>
        <v>1.0282423910063065</v>
      </c>
      <c r="M283" s="3" t="str">
        <f>IF(Table1[[#This Row],[Achieved %]]&gt;1,"▲","▼")</f>
        <v>▲</v>
      </c>
    </row>
    <row r="284" spans="1:13" x14ac:dyDescent="0.25">
      <c r="A284" s="5">
        <v>45574</v>
      </c>
      <c r="B284" s="3" t="s">
        <v>18</v>
      </c>
      <c r="C284" s="3" t="s">
        <v>9</v>
      </c>
      <c r="D284" s="3" t="s">
        <v>21</v>
      </c>
      <c r="E284" s="3" t="str">
        <f>VLOOKUP(Table1[[#This Row],[Product]],Master!A:C,2,FALSE)</f>
        <v>Electronics</v>
      </c>
      <c r="F284" s="3">
        <f>VLOOKUP(Table1[[#This Row],[Product]],Master!A:C,3,FALSE)</f>
        <v>30000</v>
      </c>
      <c r="G284" s="3">
        <v>4</v>
      </c>
      <c r="H284" s="3">
        <v>120000</v>
      </c>
      <c r="I284" s="3">
        <v>102093</v>
      </c>
      <c r="J284" s="3" t="str">
        <f>TEXT(Table1[[#This Row],[Date]],"mmm")</f>
        <v>Oct</v>
      </c>
      <c r="K284" s="3">
        <f>YEAR(Table1[[#This Row],[Date]])</f>
        <v>2024</v>
      </c>
      <c r="L284" s="6">
        <f>Table1[[#This Row],[Revenue]]/Table1[[#This Row],[Target]]</f>
        <v>1.1753989010020276</v>
      </c>
      <c r="M284" s="3" t="str">
        <f>IF(Table1[[#This Row],[Achieved %]]&gt;1,"▲","▼")</f>
        <v>▲</v>
      </c>
    </row>
    <row r="285" spans="1:13" x14ac:dyDescent="0.25">
      <c r="A285" s="5">
        <v>45575</v>
      </c>
      <c r="B285" s="3" t="s">
        <v>8</v>
      </c>
      <c r="C285" s="3" t="s">
        <v>13</v>
      </c>
      <c r="D285" s="3" t="s">
        <v>21</v>
      </c>
      <c r="E285" s="3" t="str">
        <f>VLOOKUP(Table1[[#This Row],[Product]],Master!A:C,2,FALSE)</f>
        <v>Electronics</v>
      </c>
      <c r="F285" s="3">
        <f>VLOOKUP(Table1[[#This Row],[Product]],Master!A:C,3,FALSE)</f>
        <v>30000</v>
      </c>
      <c r="G285" s="3">
        <v>6</v>
      </c>
      <c r="H285" s="3">
        <v>180000</v>
      </c>
      <c r="I285" s="3">
        <v>186794</v>
      </c>
      <c r="J285" s="3" t="str">
        <f>TEXT(Table1[[#This Row],[Date]],"mmm")</f>
        <v>Oct</v>
      </c>
      <c r="K285" s="3">
        <f>YEAR(Table1[[#This Row],[Date]])</f>
        <v>2024</v>
      </c>
      <c r="L285" s="6">
        <f>Table1[[#This Row],[Revenue]]/Table1[[#This Row],[Target]]</f>
        <v>0.96362838206794654</v>
      </c>
      <c r="M285" s="3" t="str">
        <f>IF(Table1[[#This Row],[Achieved %]]&gt;1,"▲","▼")</f>
        <v>▼</v>
      </c>
    </row>
    <row r="286" spans="1:13" x14ac:dyDescent="0.25">
      <c r="A286" s="5">
        <v>45576</v>
      </c>
      <c r="B286" s="3" t="s">
        <v>12</v>
      </c>
      <c r="C286" s="3" t="s">
        <v>9</v>
      </c>
      <c r="D286" s="3" t="s">
        <v>14</v>
      </c>
      <c r="E286" s="3" t="str">
        <f>VLOOKUP(Table1[[#This Row],[Product]],Master!A:C,2,FALSE)</f>
        <v>Office</v>
      </c>
      <c r="F286" s="3">
        <f>VLOOKUP(Table1[[#This Row],[Product]],Master!A:C,3,FALSE)</f>
        <v>15000</v>
      </c>
      <c r="G286" s="3">
        <v>2</v>
      </c>
      <c r="H286" s="3">
        <v>30000</v>
      </c>
      <c r="I286" s="3">
        <v>15785</v>
      </c>
      <c r="J286" s="3" t="str">
        <f>TEXT(Table1[[#This Row],[Date]],"mmm")</f>
        <v>Oct</v>
      </c>
      <c r="K286" s="3">
        <f>YEAR(Table1[[#This Row],[Date]])</f>
        <v>2024</v>
      </c>
      <c r="L286" s="6">
        <f>Table1[[#This Row],[Revenue]]/Table1[[#This Row],[Target]]</f>
        <v>1.9005384859043395</v>
      </c>
      <c r="M286" s="3" t="str">
        <f>IF(Table1[[#This Row],[Achieved %]]&gt;1,"▲","▼")</f>
        <v>▲</v>
      </c>
    </row>
    <row r="287" spans="1:13" x14ac:dyDescent="0.25">
      <c r="A287" s="5">
        <v>45577</v>
      </c>
      <c r="B287" s="3" t="s">
        <v>12</v>
      </c>
      <c r="C287" s="3" t="s">
        <v>22</v>
      </c>
      <c r="D287" s="3" t="s">
        <v>17</v>
      </c>
      <c r="E287" s="3" t="str">
        <f>VLOOKUP(Table1[[#This Row],[Product]],Master!A:C,2,FALSE)</f>
        <v>Electronics</v>
      </c>
      <c r="F287" s="3">
        <f>VLOOKUP(Table1[[#This Row],[Product]],Master!A:C,3,FALSE)</f>
        <v>20000</v>
      </c>
      <c r="G287" s="3">
        <v>7</v>
      </c>
      <c r="H287" s="3">
        <v>140000</v>
      </c>
      <c r="I287" s="3">
        <v>132316</v>
      </c>
      <c r="J287" s="3" t="str">
        <f>TEXT(Table1[[#This Row],[Date]],"mmm")</f>
        <v>Oct</v>
      </c>
      <c r="K287" s="3">
        <f>YEAR(Table1[[#This Row],[Date]])</f>
        <v>2024</v>
      </c>
      <c r="L287" s="6">
        <f>Table1[[#This Row],[Revenue]]/Table1[[#This Row],[Target]]</f>
        <v>1.0580730977357236</v>
      </c>
      <c r="M287" s="3" t="str">
        <f>IF(Table1[[#This Row],[Achieved %]]&gt;1,"▲","▼")</f>
        <v>▲</v>
      </c>
    </row>
    <row r="288" spans="1:13" x14ac:dyDescent="0.25">
      <c r="A288" s="5">
        <v>45578</v>
      </c>
      <c r="B288" s="3" t="s">
        <v>12</v>
      </c>
      <c r="C288" s="3" t="s">
        <v>20</v>
      </c>
      <c r="D288" s="3" t="s">
        <v>10</v>
      </c>
      <c r="E288" s="3" t="str">
        <f>VLOOKUP(Table1[[#This Row],[Product]],Master!A:C,2,FALSE)</f>
        <v>Electronics</v>
      </c>
      <c r="F288" s="3">
        <f>VLOOKUP(Table1[[#This Row],[Product]],Master!A:C,3,FALSE)</f>
        <v>50000</v>
      </c>
      <c r="G288" s="3">
        <v>5</v>
      </c>
      <c r="H288" s="3">
        <v>250000</v>
      </c>
      <c r="I288" s="3">
        <v>250978</v>
      </c>
      <c r="J288" s="3" t="str">
        <f>TEXT(Table1[[#This Row],[Date]],"mmm")</f>
        <v>Oct</v>
      </c>
      <c r="K288" s="3">
        <f>YEAR(Table1[[#This Row],[Date]])</f>
        <v>2024</v>
      </c>
      <c r="L288" s="6">
        <f>Table1[[#This Row],[Revenue]]/Table1[[#This Row],[Target]]</f>
        <v>0.99610324410904538</v>
      </c>
      <c r="M288" s="3" t="str">
        <f>IF(Table1[[#This Row],[Achieved %]]&gt;1,"▲","▼")</f>
        <v>▼</v>
      </c>
    </row>
    <row r="289" spans="1:13" x14ac:dyDescent="0.25">
      <c r="A289" s="5">
        <v>45579</v>
      </c>
      <c r="B289" s="3" t="s">
        <v>18</v>
      </c>
      <c r="C289" s="3" t="s">
        <v>13</v>
      </c>
      <c r="D289" s="3" t="s">
        <v>14</v>
      </c>
      <c r="E289" s="3" t="str">
        <f>VLOOKUP(Table1[[#This Row],[Product]],Master!A:C,2,FALSE)</f>
        <v>Office</v>
      </c>
      <c r="F289" s="3">
        <f>VLOOKUP(Table1[[#This Row],[Product]],Master!A:C,3,FALSE)</f>
        <v>15000</v>
      </c>
      <c r="G289" s="3">
        <v>4</v>
      </c>
      <c r="H289" s="3">
        <v>60000</v>
      </c>
      <c r="I289" s="3">
        <v>53744</v>
      </c>
      <c r="J289" s="3" t="str">
        <f>TEXT(Table1[[#This Row],[Date]],"mmm")</f>
        <v>Oct</v>
      </c>
      <c r="K289" s="3">
        <f>YEAR(Table1[[#This Row],[Date]])</f>
        <v>2024</v>
      </c>
      <c r="L289" s="6">
        <f>Table1[[#This Row],[Revenue]]/Table1[[#This Row],[Target]]</f>
        <v>1.1164036915748734</v>
      </c>
      <c r="M289" s="3" t="str">
        <f>IF(Table1[[#This Row],[Achieved %]]&gt;1,"▲","▼")</f>
        <v>▲</v>
      </c>
    </row>
    <row r="290" spans="1:13" x14ac:dyDescent="0.25">
      <c r="A290" s="5">
        <v>45580</v>
      </c>
      <c r="B290" s="3" t="s">
        <v>16</v>
      </c>
      <c r="C290" s="3" t="s">
        <v>9</v>
      </c>
      <c r="D290" s="3" t="s">
        <v>17</v>
      </c>
      <c r="E290" s="3" t="str">
        <f>VLOOKUP(Table1[[#This Row],[Product]],Master!A:C,2,FALSE)</f>
        <v>Electronics</v>
      </c>
      <c r="F290" s="3">
        <f>VLOOKUP(Table1[[#This Row],[Product]],Master!A:C,3,FALSE)</f>
        <v>20000</v>
      </c>
      <c r="G290" s="3">
        <v>9</v>
      </c>
      <c r="H290" s="3">
        <v>180000</v>
      </c>
      <c r="I290" s="3">
        <v>192647</v>
      </c>
      <c r="J290" s="3" t="str">
        <f>TEXT(Table1[[#This Row],[Date]],"mmm")</f>
        <v>Oct</v>
      </c>
      <c r="K290" s="3">
        <f>YEAR(Table1[[#This Row],[Date]])</f>
        <v>2024</v>
      </c>
      <c r="L290" s="6">
        <f>Table1[[#This Row],[Revenue]]/Table1[[#This Row],[Target]]</f>
        <v>0.93435143033631463</v>
      </c>
      <c r="M290" s="3" t="str">
        <f>IF(Table1[[#This Row],[Achieved %]]&gt;1,"▲","▼")</f>
        <v>▼</v>
      </c>
    </row>
    <row r="291" spans="1:13" x14ac:dyDescent="0.25">
      <c r="A291" s="5">
        <v>45581</v>
      </c>
      <c r="B291" s="3" t="s">
        <v>16</v>
      </c>
      <c r="C291" s="3" t="s">
        <v>19</v>
      </c>
      <c r="D291" s="3" t="s">
        <v>10</v>
      </c>
      <c r="E291" s="3" t="str">
        <f>VLOOKUP(Table1[[#This Row],[Product]],Master!A:C,2,FALSE)</f>
        <v>Electronics</v>
      </c>
      <c r="F291" s="3">
        <f>VLOOKUP(Table1[[#This Row],[Product]],Master!A:C,3,FALSE)</f>
        <v>50000</v>
      </c>
      <c r="G291" s="3">
        <v>1</v>
      </c>
      <c r="H291" s="3">
        <v>50000</v>
      </c>
      <c r="I291" s="3">
        <v>32978</v>
      </c>
      <c r="J291" s="3" t="str">
        <f>TEXT(Table1[[#This Row],[Date]],"mmm")</f>
        <v>Oct</v>
      </c>
      <c r="K291" s="3">
        <f>YEAR(Table1[[#This Row],[Date]])</f>
        <v>2024</v>
      </c>
      <c r="L291" s="6">
        <f>Table1[[#This Row],[Revenue]]/Table1[[#This Row],[Target]]</f>
        <v>1.5161622900115228</v>
      </c>
      <c r="M291" s="3" t="str">
        <f>IF(Table1[[#This Row],[Achieved %]]&gt;1,"▲","▼")</f>
        <v>▲</v>
      </c>
    </row>
    <row r="292" spans="1:13" x14ac:dyDescent="0.25">
      <c r="A292" s="5">
        <v>45582</v>
      </c>
      <c r="B292" s="3" t="s">
        <v>18</v>
      </c>
      <c r="C292" s="3" t="s">
        <v>19</v>
      </c>
      <c r="D292" s="3" t="s">
        <v>17</v>
      </c>
      <c r="E292" s="3" t="str">
        <f>VLOOKUP(Table1[[#This Row],[Product]],Master!A:C,2,FALSE)</f>
        <v>Electronics</v>
      </c>
      <c r="F292" s="3">
        <f>VLOOKUP(Table1[[#This Row],[Product]],Master!A:C,3,FALSE)</f>
        <v>20000</v>
      </c>
      <c r="G292" s="3">
        <v>6</v>
      </c>
      <c r="H292" s="3">
        <v>120000</v>
      </c>
      <c r="I292" s="3">
        <v>127396</v>
      </c>
      <c r="J292" s="3" t="str">
        <f>TEXT(Table1[[#This Row],[Date]],"mmm")</f>
        <v>Oct</v>
      </c>
      <c r="K292" s="3">
        <f>YEAR(Table1[[#This Row],[Date]])</f>
        <v>2024</v>
      </c>
      <c r="L292" s="6">
        <f>Table1[[#This Row],[Revenue]]/Table1[[#This Row],[Target]]</f>
        <v>0.94194480203460074</v>
      </c>
      <c r="M292" s="3" t="str">
        <f>IF(Table1[[#This Row],[Achieved %]]&gt;1,"▲","▼")</f>
        <v>▼</v>
      </c>
    </row>
    <row r="293" spans="1:13" x14ac:dyDescent="0.25">
      <c r="A293" s="5">
        <v>45583</v>
      </c>
      <c r="B293" s="3" t="s">
        <v>12</v>
      </c>
      <c r="C293" s="3" t="s">
        <v>13</v>
      </c>
      <c r="D293" s="3" t="s">
        <v>21</v>
      </c>
      <c r="E293" s="3" t="str">
        <f>VLOOKUP(Table1[[#This Row],[Product]],Master!A:C,2,FALSE)</f>
        <v>Electronics</v>
      </c>
      <c r="F293" s="3">
        <f>VLOOKUP(Table1[[#This Row],[Product]],Master!A:C,3,FALSE)</f>
        <v>30000</v>
      </c>
      <c r="G293" s="3">
        <v>5</v>
      </c>
      <c r="H293" s="3">
        <v>150000</v>
      </c>
      <c r="I293" s="3">
        <v>165205</v>
      </c>
      <c r="J293" s="3" t="str">
        <f>TEXT(Table1[[#This Row],[Date]],"mmm")</f>
        <v>Oct</v>
      </c>
      <c r="K293" s="3">
        <f>YEAR(Table1[[#This Row],[Date]])</f>
        <v>2024</v>
      </c>
      <c r="L293" s="6">
        <f>Table1[[#This Row],[Revenue]]/Table1[[#This Row],[Target]]</f>
        <v>0.90796283405465938</v>
      </c>
      <c r="M293" s="3" t="str">
        <f>IF(Table1[[#This Row],[Achieved %]]&gt;1,"▲","▼")</f>
        <v>▼</v>
      </c>
    </row>
    <row r="294" spans="1:13" x14ac:dyDescent="0.25">
      <c r="A294" s="5">
        <v>45584</v>
      </c>
      <c r="B294" s="3" t="s">
        <v>18</v>
      </c>
      <c r="C294" s="3" t="s">
        <v>9</v>
      </c>
      <c r="D294" s="3" t="s">
        <v>17</v>
      </c>
      <c r="E294" s="3" t="str">
        <f>VLOOKUP(Table1[[#This Row],[Product]],Master!A:C,2,FALSE)</f>
        <v>Electronics</v>
      </c>
      <c r="F294" s="3">
        <f>VLOOKUP(Table1[[#This Row],[Product]],Master!A:C,3,FALSE)</f>
        <v>20000</v>
      </c>
      <c r="G294" s="3">
        <v>5</v>
      </c>
      <c r="H294" s="3">
        <v>100000</v>
      </c>
      <c r="I294" s="3">
        <v>82360</v>
      </c>
      <c r="J294" s="3" t="str">
        <f>TEXT(Table1[[#This Row],[Date]],"mmm")</f>
        <v>Oct</v>
      </c>
      <c r="K294" s="3">
        <f>YEAR(Table1[[#This Row],[Date]])</f>
        <v>2024</v>
      </c>
      <c r="L294" s="6">
        <f>Table1[[#This Row],[Revenue]]/Table1[[#This Row],[Target]]</f>
        <v>1.2141816415735793</v>
      </c>
      <c r="M294" s="3" t="str">
        <f>IF(Table1[[#This Row],[Achieved %]]&gt;1,"▲","▼")</f>
        <v>▲</v>
      </c>
    </row>
    <row r="295" spans="1:13" x14ac:dyDescent="0.25">
      <c r="A295" s="5">
        <v>45585</v>
      </c>
      <c r="B295" s="3" t="s">
        <v>8</v>
      </c>
      <c r="C295" s="3" t="s">
        <v>9</v>
      </c>
      <c r="D295" s="3" t="s">
        <v>17</v>
      </c>
      <c r="E295" s="3" t="str">
        <f>VLOOKUP(Table1[[#This Row],[Product]],Master!A:C,2,FALSE)</f>
        <v>Electronics</v>
      </c>
      <c r="F295" s="3">
        <f>VLOOKUP(Table1[[#This Row],[Product]],Master!A:C,3,FALSE)</f>
        <v>20000</v>
      </c>
      <c r="G295" s="3">
        <v>9</v>
      </c>
      <c r="H295" s="3">
        <v>180000</v>
      </c>
      <c r="I295" s="3">
        <v>177124</v>
      </c>
      <c r="J295" s="3" t="str">
        <f>TEXT(Table1[[#This Row],[Date]],"mmm")</f>
        <v>Oct</v>
      </c>
      <c r="K295" s="3">
        <f>YEAR(Table1[[#This Row],[Date]])</f>
        <v>2024</v>
      </c>
      <c r="L295" s="6">
        <f>Table1[[#This Row],[Revenue]]/Table1[[#This Row],[Target]]</f>
        <v>1.0162372123484114</v>
      </c>
      <c r="M295" s="3" t="str">
        <f>IF(Table1[[#This Row],[Achieved %]]&gt;1,"▲","▼")</f>
        <v>▲</v>
      </c>
    </row>
    <row r="296" spans="1:13" x14ac:dyDescent="0.25">
      <c r="A296" s="5">
        <v>45586</v>
      </c>
      <c r="B296" s="3" t="s">
        <v>18</v>
      </c>
      <c r="C296" s="3" t="s">
        <v>13</v>
      </c>
      <c r="D296" s="3" t="s">
        <v>10</v>
      </c>
      <c r="E296" s="3" t="str">
        <f>VLOOKUP(Table1[[#This Row],[Product]],Master!A:C,2,FALSE)</f>
        <v>Electronics</v>
      </c>
      <c r="F296" s="3">
        <f>VLOOKUP(Table1[[#This Row],[Product]],Master!A:C,3,FALSE)</f>
        <v>50000</v>
      </c>
      <c r="G296" s="3">
        <v>1</v>
      </c>
      <c r="H296" s="3">
        <v>50000</v>
      </c>
      <c r="I296" s="3">
        <v>30739</v>
      </c>
      <c r="J296" s="3" t="str">
        <f>TEXT(Table1[[#This Row],[Date]],"mmm")</f>
        <v>Oct</v>
      </c>
      <c r="K296" s="3">
        <f>YEAR(Table1[[#This Row],[Date]])</f>
        <v>2024</v>
      </c>
      <c r="L296" s="6">
        <f>Table1[[#This Row],[Revenue]]/Table1[[#This Row],[Target]]</f>
        <v>1.6265981326653438</v>
      </c>
      <c r="M296" s="3" t="str">
        <f>IF(Table1[[#This Row],[Achieved %]]&gt;1,"▲","▼")</f>
        <v>▲</v>
      </c>
    </row>
    <row r="297" spans="1:13" x14ac:dyDescent="0.25">
      <c r="A297" s="5">
        <v>45587</v>
      </c>
      <c r="B297" s="3" t="s">
        <v>12</v>
      </c>
      <c r="C297" s="3" t="s">
        <v>22</v>
      </c>
      <c r="D297" s="3" t="s">
        <v>10</v>
      </c>
      <c r="E297" s="3" t="str">
        <f>VLOOKUP(Table1[[#This Row],[Product]],Master!A:C,2,FALSE)</f>
        <v>Electronics</v>
      </c>
      <c r="F297" s="3">
        <f>VLOOKUP(Table1[[#This Row],[Product]],Master!A:C,3,FALSE)</f>
        <v>50000</v>
      </c>
      <c r="G297" s="3">
        <v>2</v>
      </c>
      <c r="H297" s="3">
        <v>100000</v>
      </c>
      <c r="I297" s="3">
        <v>96562</v>
      </c>
      <c r="J297" s="3" t="str">
        <f>TEXT(Table1[[#This Row],[Date]],"mmm")</f>
        <v>Oct</v>
      </c>
      <c r="K297" s="3">
        <f>YEAR(Table1[[#This Row],[Date]])</f>
        <v>2024</v>
      </c>
      <c r="L297" s="6">
        <f>Table1[[#This Row],[Revenue]]/Table1[[#This Row],[Target]]</f>
        <v>1.0356040678527785</v>
      </c>
      <c r="M297" s="3" t="str">
        <f>IF(Table1[[#This Row],[Achieved %]]&gt;1,"▲","▼")</f>
        <v>▲</v>
      </c>
    </row>
    <row r="298" spans="1:13" x14ac:dyDescent="0.25">
      <c r="A298" s="5">
        <v>45588</v>
      </c>
      <c r="B298" s="3" t="s">
        <v>12</v>
      </c>
      <c r="C298" s="3" t="s">
        <v>9</v>
      </c>
      <c r="D298" s="3" t="s">
        <v>10</v>
      </c>
      <c r="E298" s="3" t="str">
        <f>VLOOKUP(Table1[[#This Row],[Product]],Master!A:C,2,FALSE)</f>
        <v>Electronics</v>
      </c>
      <c r="F298" s="3">
        <f>VLOOKUP(Table1[[#This Row],[Product]],Master!A:C,3,FALSE)</f>
        <v>50000</v>
      </c>
      <c r="G298" s="3">
        <v>6</v>
      </c>
      <c r="H298" s="3">
        <v>300000</v>
      </c>
      <c r="I298" s="3">
        <v>307256</v>
      </c>
      <c r="J298" s="3" t="str">
        <f>TEXT(Table1[[#This Row],[Date]],"mmm")</f>
        <v>Oct</v>
      </c>
      <c r="K298" s="3">
        <f>YEAR(Table1[[#This Row],[Date]])</f>
        <v>2024</v>
      </c>
      <c r="L298" s="6">
        <f>Table1[[#This Row],[Revenue]]/Table1[[#This Row],[Target]]</f>
        <v>0.97638451323977404</v>
      </c>
      <c r="M298" s="3" t="str">
        <f>IF(Table1[[#This Row],[Achieved %]]&gt;1,"▲","▼")</f>
        <v>▼</v>
      </c>
    </row>
    <row r="299" spans="1:13" x14ac:dyDescent="0.25">
      <c r="A299" s="5">
        <v>45589</v>
      </c>
      <c r="B299" s="3" t="s">
        <v>18</v>
      </c>
      <c r="C299" s="3" t="s">
        <v>20</v>
      </c>
      <c r="D299" s="3" t="s">
        <v>14</v>
      </c>
      <c r="E299" s="3" t="str">
        <f>VLOOKUP(Table1[[#This Row],[Product]],Master!A:C,2,FALSE)</f>
        <v>Office</v>
      </c>
      <c r="F299" s="3">
        <f>VLOOKUP(Table1[[#This Row],[Product]],Master!A:C,3,FALSE)</f>
        <v>15000</v>
      </c>
      <c r="G299" s="3">
        <v>4</v>
      </c>
      <c r="H299" s="3">
        <v>60000</v>
      </c>
      <c r="I299" s="3">
        <v>49557</v>
      </c>
      <c r="J299" s="3" t="str">
        <f>TEXT(Table1[[#This Row],[Date]],"mmm")</f>
        <v>Oct</v>
      </c>
      <c r="K299" s="3">
        <f>YEAR(Table1[[#This Row],[Date]])</f>
        <v>2024</v>
      </c>
      <c r="L299" s="6">
        <f>Table1[[#This Row],[Revenue]]/Table1[[#This Row],[Target]]</f>
        <v>1.2107270415884739</v>
      </c>
      <c r="M299" s="3" t="str">
        <f>IF(Table1[[#This Row],[Achieved %]]&gt;1,"▲","▼")</f>
        <v>▲</v>
      </c>
    </row>
    <row r="300" spans="1:13" x14ac:dyDescent="0.25">
      <c r="A300" s="5">
        <v>45590</v>
      </c>
      <c r="B300" s="3" t="s">
        <v>12</v>
      </c>
      <c r="C300" s="3" t="s">
        <v>9</v>
      </c>
      <c r="D300" s="3" t="s">
        <v>17</v>
      </c>
      <c r="E300" s="3" t="str">
        <f>VLOOKUP(Table1[[#This Row],[Product]],Master!A:C,2,FALSE)</f>
        <v>Electronics</v>
      </c>
      <c r="F300" s="3">
        <f>VLOOKUP(Table1[[#This Row],[Product]],Master!A:C,3,FALSE)</f>
        <v>20000</v>
      </c>
      <c r="G300" s="3">
        <v>6</v>
      </c>
      <c r="H300" s="3">
        <v>120000</v>
      </c>
      <c r="I300" s="3">
        <v>114998</v>
      </c>
      <c r="J300" s="3" t="str">
        <f>TEXT(Table1[[#This Row],[Date]],"mmm")</f>
        <v>Oct</v>
      </c>
      <c r="K300" s="3">
        <f>YEAR(Table1[[#This Row],[Date]])</f>
        <v>2024</v>
      </c>
      <c r="L300" s="6">
        <f>Table1[[#This Row],[Revenue]]/Table1[[#This Row],[Target]]</f>
        <v>1.0434964086331937</v>
      </c>
      <c r="M300" s="3" t="str">
        <f>IF(Table1[[#This Row],[Achieved %]]&gt;1,"▲","▼")</f>
        <v>▲</v>
      </c>
    </row>
    <row r="301" spans="1:13" x14ac:dyDescent="0.25">
      <c r="A301" s="5">
        <v>45591</v>
      </c>
      <c r="B301" s="3" t="s">
        <v>16</v>
      </c>
      <c r="C301" s="3" t="s">
        <v>20</v>
      </c>
      <c r="D301" s="3" t="s">
        <v>21</v>
      </c>
      <c r="E301" s="3" t="str">
        <f>VLOOKUP(Table1[[#This Row],[Product]],Master!A:C,2,FALSE)</f>
        <v>Electronics</v>
      </c>
      <c r="F301" s="3">
        <f>VLOOKUP(Table1[[#This Row],[Product]],Master!A:C,3,FALSE)</f>
        <v>30000</v>
      </c>
      <c r="G301" s="3">
        <v>9</v>
      </c>
      <c r="H301" s="3">
        <v>270000</v>
      </c>
      <c r="I301" s="3">
        <v>265469</v>
      </c>
      <c r="J301" s="3" t="str">
        <f>TEXT(Table1[[#This Row],[Date]],"mmm")</f>
        <v>Oct</v>
      </c>
      <c r="K301" s="3">
        <f>YEAR(Table1[[#This Row],[Date]])</f>
        <v>2024</v>
      </c>
      <c r="L301" s="6">
        <f>Table1[[#This Row],[Revenue]]/Table1[[#This Row],[Target]]</f>
        <v>1.0170679062338728</v>
      </c>
      <c r="M301" s="3" t="str">
        <f>IF(Table1[[#This Row],[Achieved %]]&gt;1,"▲","▼")</f>
        <v>▲</v>
      </c>
    </row>
  </sheetData>
  <conditionalFormatting sqref="M2:M301">
    <cfRule type="cellIs" dxfId="31" priority="1" operator="equal">
      <formula>$M$282</formula>
    </cfRule>
    <cfRule type="cellIs" dxfId="30" priority="2" operator="equal">
      <formula>$M$281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D9BE8-2851-4445-A0D9-80D6B61869EF}">
  <dimension ref="A1:C5"/>
  <sheetViews>
    <sheetView workbookViewId="0">
      <selection activeCell="B3" sqref="B3"/>
    </sheetView>
  </sheetViews>
  <sheetFormatPr defaultRowHeight="15" x14ac:dyDescent="0.25"/>
  <cols>
    <col min="1" max="1" width="12.42578125" bestFit="1" customWidth="1"/>
    <col min="2" max="2" width="13.42578125" bestFit="1" customWidth="1"/>
    <col min="3" max="3" width="10" bestFit="1" customWidth="1"/>
  </cols>
  <sheetData>
    <row r="1" spans="1:3" x14ac:dyDescent="0.25">
      <c r="A1" s="1" t="s">
        <v>3</v>
      </c>
      <c r="B1" s="1" t="s">
        <v>4</v>
      </c>
      <c r="C1" s="1" t="s">
        <v>26</v>
      </c>
    </row>
    <row r="2" spans="1:3" ht="15" customHeight="1" x14ac:dyDescent="0.25">
      <c r="A2" s="9" t="s">
        <v>10</v>
      </c>
      <c r="B2" s="9" t="s">
        <v>11</v>
      </c>
      <c r="C2" s="9">
        <v>50000</v>
      </c>
    </row>
    <row r="3" spans="1:3" ht="15" customHeight="1" x14ac:dyDescent="0.25">
      <c r="A3" s="9" t="s">
        <v>17</v>
      </c>
      <c r="B3" s="9" t="s">
        <v>11</v>
      </c>
      <c r="C3" s="9">
        <v>20000</v>
      </c>
    </row>
    <row r="4" spans="1:3" ht="15" customHeight="1" x14ac:dyDescent="0.25">
      <c r="A4" s="9" t="s">
        <v>21</v>
      </c>
      <c r="B4" s="9" t="s">
        <v>11</v>
      </c>
      <c r="C4" s="9">
        <v>30000</v>
      </c>
    </row>
    <row r="5" spans="1:3" ht="15" customHeight="1" x14ac:dyDescent="0.25">
      <c r="A5" s="9" t="s">
        <v>14</v>
      </c>
      <c r="B5" s="9" t="s">
        <v>15</v>
      </c>
      <c r="C5" s="9">
        <v>15000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 Reports</vt:lpstr>
      <vt:lpstr>Sales_Data</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Gupta</dc:creator>
  <cp:lastModifiedBy>Shivam Gupta</cp:lastModifiedBy>
  <dcterms:created xsi:type="dcterms:W3CDTF">2026-04-08T17:33:10Z</dcterms:created>
  <dcterms:modified xsi:type="dcterms:W3CDTF">2026-04-11T05:52:21Z</dcterms:modified>
</cp:coreProperties>
</file>